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rati\Desktop\github exel\"/>
    </mc:Choice>
  </mc:AlternateContent>
  <xr:revisionPtr revIDLastSave="0" documentId="13_ncr:1_{CEFA62C1-B60A-4463-8DA5-5927F90BB55A}" xr6:coauthVersionLast="47" xr6:coauthVersionMax="47" xr10:uidLastSave="{00000000-0000-0000-0000-000000000000}"/>
  <bookViews>
    <workbookView xWindow="-120" yWindow="-120" windowWidth="20730" windowHeight="11160" firstSheet="7" activeTab="10" xr2:uid="{00000000-000D-0000-FFFF-FFFF00000000}"/>
  </bookViews>
  <sheets>
    <sheet name="HR Data" sheetId="8" r:id="rId1"/>
    <sheet name="KPI" sheetId="7" r:id="rId2"/>
    <sheet name="RATING" sheetId="10" r:id="rId3"/>
    <sheet name="GENDER" sheetId="12" r:id="rId4"/>
    <sheet name="education by attrition" sheetId="13" r:id="rId5"/>
    <sheet name="attirition by job" sheetId="14" r:id="rId6"/>
    <sheet name="Departmentwise attirition" sheetId="16" r:id="rId7"/>
    <sheet name="attrition by age grp" sheetId="17" r:id="rId8"/>
    <sheet name="Maritial status" sheetId="18" r:id="rId9"/>
    <sheet name="Images" sheetId="2" r:id="rId10"/>
    <sheet name="DASHBOARD" sheetId="4" r:id="rId11"/>
  </sheets>
  <definedNames>
    <definedName name="_xlchart.v1.0" hidden="1">'attirition by job'!$D$4:$D$12</definedName>
    <definedName name="_xlchart.v1.1" hidden="1">'attirition by job'!$E$3</definedName>
    <definedName name="_xlchart.v1.2" hidden="1">'attirition by job'!$E$4:$E$12</definedName>
    <definedName name="_xlchart.v1.6" hidden="1">'attirition by job'!$D$4:$D$12</definedName>
    <definedName name="_xlchart.v1.7" hidden="1">'attirition by job'!$E$3</definedName>
    <definedName name="_xlchart.v1.8" hidden="1">'attirition by job'!$E$4:$E$12</definedName>
    <definedName name="_xlchart.v2.10" hidden="1">'Maritial status'!$E$3</definedName>
    <definedName name="_xlchart.v2.11" hidden="1">'Maritial status'!$E$4:$E$6</definedName>
    <definedName name="_xlchart.v2.3" hidden="1">'Maritial status'!$D$4:$D$6</definedName>
    <definedName name="_xlchart.v2.4" hidden="1">'Maritial status'!$E$3</definedName>
    <definedName name="_xlchart.v2.5" hidden="1">'Maritial status'!$E$4:$E$6</definedName>
    <definedName name="_xlchart.v2.9" hidden="1">'Maritial status'!$D$4:$D$6</definedName>
    <definedName name="_xlcn.WorksheetConnection_RATINGC9C101" hidden="1">RATING!$C$9:$C$10</definedName>
    <definedName name="Slicer_Department">#N/A</definedName>
    <definedName name="Slicer_Education_Field2">#N/A</definedName>
    <definedName name="Slicer_Gender">#N/A</definedName>
    <definedName name="Slicer_Gender1">#N/A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ATING!$C$9:$C$1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5" roundtripDataChecksum="0W7NtiAel2xy0cZdwUBcRsMoEuXg6pzXui43o1bypBA="/>
    </ext>
  </extLst>
</workbook>
</file>

<file path=xl/calcChain.xml><?xml version="1.0" encoding="utf-8"?>
<calcChain xmlns="http://schemas.openxmlformats.org/spreadsheetml/2006/main">
  <c r="D5" i="18" l="1"/>
  <c r="D6" i="18"/>
  <c r="D4" i="18"/>
  <c r="D4" i="14"/>
  <c r="D5" i="14"/>
  <c r="D6" i="14"/>
  <c r="D7" i="14"/>
  <c r="D8" i="14"/>
  <c r="D9" i="14"/>
  <c r="I17" i="7"/>
  <c r="H17" i="7"/>
  <c r="F17" i="7"/>
  <c r="E17" i="7"/>
  <c r="G17" i="7"/>
  <c r="E5" i="14"/>
  <c r="E4" i="14"/>
  <c r="E8" i="14"/>
  <c r="B12" i="12"/>
  <c r="E6" i="18"/>
  <c r="E5" i="18"/>
  <c r="E6" i="14"/>
  <c r="E9" i="14"/>
  <c r="E7" i="14"/>
  <c r="E4" i="18"/>
  <c r="B13" i="12"/>
  <c r="B9" i="10"/>
  <c r="C13" i="12" l="1"/>
  <c r="C12" i="12"/>
  <c r="C9" i="10"/>
  <c r="B10" i="10"/>
  <c r="C10"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0F3A90-8F9A-445D-B3E5-EA05980CD6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9C7426C-A611-484E-96CF-D7D346FF4FD6}" name="WorksheetConnection_RATING!$C$9:$C$10" type="102" refreshedVersion="8" minRefreshableVersion="5">
    <extLst>
      <ext xmlns:x15="http://schemas.microsoft.com/office/spreadsheetml/2010/11/main" uri="{DE250136-89BD-433C-8126-D09CA5730AF9}">
        <x15:connection id="Range" autoDelete="1">
          <x15:rangePr sourceName="_xlcn.WorksheetConnection_RATINGC9C101"/>
        </x15:connection>
      </ext>
    </extLst>
  </connection>
</connections>
</file>

<file path=xl/sharedStrings.xml><?xml version="1.0" encoding="utf-8"?>
<sst xmlns="http://schemas.openxmlformats.org/spreadsheetml/2006/main" count="19219" uniqueCount="1572">
  <si>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</si>
  <si>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</si>
  <si>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</si>
  <si>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</si>
  <si>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</si>
  <si>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</si>
  <si>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</si>
  <si>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</si>
  <si>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</si>
  <si>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</si>
  <si>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</si>
  <si>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</si>
  <si>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</si>
  <si>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</si>
  <si>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</si>
  <si>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</si>
  <si>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</si>
  <si>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</si>
  <si>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</si>
  <si>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</si>
  <si>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</si>
  <si>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</si>
  <si>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</si>
  <si>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</si>
  <si>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</si>
  <si>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</si>
  <si>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</si>
  <si>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</si>
  <si>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</si>
  <si>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</si>
  <si>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</si>
  <si>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</si>
  <si>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</si>
  <si>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</si>
  <si>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</si>
  <si>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</si>
  <si>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</si>
  <si>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</si>
  <si>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</si>
  <si>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</si>
  <si>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</si>
  <si>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</si>
  <si>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</si>
  <si>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</si>
  <si>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</si>
  <si>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</si>
  <si>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</si>
  <si>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</si>
  <si>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</si>
  <si>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</si>
  <si>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</si>
  <si>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</si>
  <si>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</si>
  <si>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</si>
  <si>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</si>
  <si>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</si>
  <si>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</si>
  <si>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</si>
  <si>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</si>
  <si>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</si>
  <si>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</si>
  <si>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</si>
  <si>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</si>
  <si>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</si>
  <si>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</si>
  <si>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</si>
  <si>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</si>
  <si>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</si>
  <si>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</si>
  <si>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</si>
  <si>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</si>
  <si>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</si>
  <si>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</si>
  <si>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</si>
  <si>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</si>
  <si>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</si>
  <si>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</si>
  <si>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</si>
  <si>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</si>
  <si>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</si>
  <si>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</si>
  <si>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</si>
  <si>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</si>
  <si>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</si>
  <si>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</si>
  <si>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</si>
  <si>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</si>
  <si>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</si>
  <si>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</si>
  <si>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</si>
  <si>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</si>
  <si>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</si>
  <si>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</si>
  <si>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</si>
  <si>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</si>
  <si>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</si>
  <si>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</si>
  <si>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</si>
  <si>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</si>
  <si>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</si>
  <si>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</si>
  <si>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</si>
  <si>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</si>
  <si>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</si>
  <si>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</si>
  <si>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</si>
  <si>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</si>
  <si>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</si>
  <si>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</si>
  <si>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</si>
  <si>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</si>
  <si>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</si>
  <si>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</si>
  <si>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</si>
  <si>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</si>
  <si>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</si>
  <si>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</si>
  <si>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</si>
  <si>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</si>
  <si>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</si>
  <si>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</si>
  <si>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</si>
  <si>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</si>
  <si>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</si>
  <si>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</si>
  <si>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</si>
  <si>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</si>
  <si>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</si>
  <si>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</si>
  <si>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</si>
  <si>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</si>
  <si>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</si>
  <si>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</si>
  <si>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</si>
  <si>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</si>
  <si>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</si>
  <si>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</si>
  <si>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</si>
  <si>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</si>
  <si>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</si>
  <si>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</si>
  <si>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</si>
  <si>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</si>
  <si>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</si>
  <si>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</si>
  <si>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</si>
  <si>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</si>
  <si>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</si>
  <si>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</si>
  <si>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</si>
  <si>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</si>
  <si>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</si>
  <si>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</si>
  <si>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</si>
  <si>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</si>
  <si>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</si>
  <si>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</si>
  <si>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</si>
  <si>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</si>
  <si>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</si>
  <si>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</si>
  <si>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</si>
  <si>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</si>
  <si>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</si>
  <si>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</si>
  <si>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</si>
  <si>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</si>
  <si>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</si>
  <si>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</si>
  <si>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</si>
  <si>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</si>
  <si>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</si>
  <si>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</si>
  <si>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</si>
  <si>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</si>
  <si>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</si>
  <si>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</si>
  <si>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</si>
  <si>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</si>
  <si>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</si>
  <si>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</si>
  <si>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</si>
  <si>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</si>
  <si>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</si>
  <si>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</si>
  <si>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</si>
  <si>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</si>
  <si>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</si>
  <si>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</si>
  <si>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</si>
  <si>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</si>
  <si>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</si>
  <si>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</si>
  <si>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</si>
  <si>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</si>
  <si>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</si>
  <si>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</si>
  <si>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</si>
  <si>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</si>
  <si>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</si>
  <si>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</si>
  <si>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</si>
  <si>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</si>
  <si>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</si>
  <si>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</si>
  <si>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</si>
  <si>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</si>
  <si>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</si>
  <si>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</si>
  <si>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</si>
  <si>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</si>
  <si>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</si>
  <si>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</si>
  <si>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</si>
  <si>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</si>
  <si>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</si>
  <si>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</si>
  <si>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</si>
  <si>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</si>
  <si>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</si>
  <si>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</si>
  <si>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</si>
  <si>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</si>
  <si>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</si>
  <si>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</si>
  <si>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</si>
  <si>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</si>
  <si>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</si>
  <si>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</si>
  <si>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</si>
  <si>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</si>
  <si>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</si>
  <si>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</si>
  <si>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</si>
  <si>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</si>
  <si>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</si>
  <si>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</si>
  <si>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</si>
  <si>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</si>
  <si>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</si>
  <si>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</si>
  <si>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</si>
  <si>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</si>
  <si>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</si>
  <si>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</si>
  <si>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</si>
  <si>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</si>
  <si>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</si>
  <si>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</si>
  <si>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</si>
  <si>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</si>
  <si>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</si>
  <si>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</si>
  <si>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</si>
  <si>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</si>
  <si>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</si>
  <si>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</si>
  <si>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</si>
  <si>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</si>
  <si>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</si>
  <si>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</si>
  <si>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</si>
  <si>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</si>
  <si>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</si>
  <si>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</si>
  <si>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</si>
  <si>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</si>
  <si>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</si>
  <si>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</si>
  <si>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</si>
  <si>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</si>
  <si>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</si>
  <si>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</si>
  <si>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</si>
  <si>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</si>
  <si>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</si>
  <si>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</si>
  <si>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</si>
  <si>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</si>
  <si>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</si>
  <si>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</si>
  <si>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</si>
  <si>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</si>
  <si>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</si>
  <si>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</si>
  <si>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</si>
  <si>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</si>
  <si>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</si>
  <si>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</si>
  <si>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</si>
  <si>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</si>
  <si>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</si>
  <si>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</si>
  <si>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</si>
  <si>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</si>
  <si>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</si>
  <si>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</si>
  <si>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</si>
  <si>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</si>
  <si>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</si>
  <si>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</si>
  <si>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</si>
  <si>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</si>
  <si>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</si>
  <si>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</si>
  <si>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</si>
  <si>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</si>
  <si>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</si>
  <si>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</si>
  <si>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</si>
  <si>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</si>
  <si>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</si>
  <si>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</si>
  <si>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</si>
  <si>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</si>
  <si>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</si>
  <si>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</si>
  <si>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</si>
  <si>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</si>
  <si>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</si>
  <si>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</si>
  <si>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</si>
  <si>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</si>
  <si>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</si>
  <si>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</si>
  <si>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</si>
  <si>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</si>
  <si>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</si>
  <si>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</si>
  <si>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</si>
  <si>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</si>
  <si>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</si>
  <si>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</si>
  <si>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</si>
  <si>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</si>
  <si>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</si>
  <si>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</si>
  <si>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</si>
  <si>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</si>
  <si>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</si>
  <si>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</si>
  <si>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</si>
  <si>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</si>
  <si>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</si>
  <si>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</si>
  <si>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</si>
  <si>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</si>
  <si>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</si>
  <si>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</si>
  <si>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</si>
  <si>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</si>
  <si>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</si>
  <si>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</si>
  <si>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</si>
  <si>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</si>
  <si>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</si>
  <si>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</si>
  <si>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</si>
  <si>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</si>
  <si>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</si>
  <si>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</si>
  <si>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</si>
  <si>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</si>
  <si>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</si>
  <si>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</si>
  <si>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</si>
  <si>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</si>
  <si>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</si>
  <si>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</si>
  <si>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</si>
  <si>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</si>
  <si>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</si>
  <si>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</si>
  <si>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</si>
  <si>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</si>
  <si>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</si>
  <si>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</si>
  <si>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</si>
  <si>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</si>
  <si>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</si>
  <si>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</si>
  <si>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</si>
  <si>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</si>
  <si>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</si>
  <si>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</si>
  <si>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</si>
  <si>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</si>
  <si>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</si>
  <si>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</si>
  <si>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</si>
  <si>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</si>
  <si>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</si>
  <si>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</si>
  <si>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</si>
  <si>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</si>
  <si>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</si>
  <si>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</si>
  <si>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</si>
  <si>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</si>
  <si>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</si>
  <si>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</si>
  <si>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</si>
  <si>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</si>
  <si>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</si>
  <si>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</si>
  <si>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</si>
  <si>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</si>
  <si>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</si>
  <si>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</si>
  <si>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</si>
  <si>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</si>
  <si>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</si>
  <si>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</si>
  <si>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</si>
  <si>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</si>
  <si>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</si>
  <si>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</si>
  <si>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</si>
  <si>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</si>
  <si>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</si>
  <si>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</si>
  <si>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</si>
  <si>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</si>
  <si>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</si>
  <si>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</si>
  <si>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</si>
  <si>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</si>
  <si>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</si>
  <si>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</si>
  <si>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</si>
  <si>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</si>
  <si>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</si>
  <si>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</si>
  <si>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</si>
  <si>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</si>
  <si>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</si>
  <si>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</si>
  <si>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</si>
  <si>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</si>
  <si>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</si>
  <si>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</si>
  <si>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</si>
  <si>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</si>
  <si>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</si>
  <si>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</si>
  <si>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</si>
  <si>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</si>
  <si>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</si>
  <si>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</si>
  <si>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</si>
  <si>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</si>
  <si>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</si>
  <si>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</si>
  <si>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</si>
  <si>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</si>
  <si>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</si>
  <si>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</si>
  <si>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</si>
  <si>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</si>
  <si>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</si>
  <si>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</si>
  <si>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</si>
  <si>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</si>
  <si>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</si>
  <si>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</si>
  <si>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</si>
  <si>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</si>
  <si>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</si>
  <si>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</si>
  <si>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</si>
  <si>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</si>
  <si>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</si>
  <si>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</si>
  <si>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</si>
  <si>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</si>
  <si>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</si>
  <si>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</si>
  <si>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</si>
  <si>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</si>
  <si>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</si>
  <si>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</si>
  <si>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</si>
  <si>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</si>
  <si>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</si>
  <si>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</si>
  <si>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</si>
  <si>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</si>
  <si>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</si>
  <si>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</si>
  <si>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</si>
  <si>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</si>
  <si>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</si>
  <si>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</si>
  <si>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</si>
  <si>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</si>
  <si>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</si>
  <si>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</si>
  <si>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</si>
  <si>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</si>
  <si>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</si>
  <si>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</si>
  <si>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</si>
  <si>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</si>
  <si>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</si>
  <si>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</si>
  <si>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</si>
  <si>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</si>
  <si>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</si>
  <si>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</si>
  <si>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</si>
  <si>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</si>
  <si>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</si>
  <si>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</si>
  <si>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</si>
  <si>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</si>
  <si>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</si>
  <si>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</si>
  <si>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</si>
  <si>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</si>
  <si>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</si>
  <si>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</si>
  <si>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</si>
  <si>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</si>
  <si>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</si>
  <si>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</si>
  <si>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</si>
  <si>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</si>
  <si>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</si>
  <si>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</si>
  <si>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</si>
  <si>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</si>
  <si>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</si>
  <si>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</si>
  <si>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</si>
  <si>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</si>
  <si>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</si>
  <si>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</si>
  <si>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</si>
  <si>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</si>
  <si>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</si>
  <si>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</si>
  <si>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</si>
  <si>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</si>
  <si>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</si>
  <si>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</si>
  <si>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</si>
  <si>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</si>
  <si>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</si>
  <si>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</si>
  <si>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</si>
  <si>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</si>
  <si>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</si>
  <si>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</si>
  <si>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</si>
  <si>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</si>
  <si>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</si>
  <si>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</si>
  <si>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</si>
  <si>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</si>
  <si>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</si>
  <si>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</si>
  <si>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</si>
  <si>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</si>
  <si>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</si>
  <si>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</si>
  <si>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</si>
  <si>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</si>
  <si>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</si>
  <si>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</si>
  <si>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</si>
  <si>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</si>
  <si>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</si>
  <si>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</si>
  <si>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</si>
  <si>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</si>
  <si>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</si>
  <si>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</si>
  <si>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</si>
  <si>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</si>
  <si>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</si>
  <si>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</si>
  <si>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</si>
  <si>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</si>
  <si>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</si>
  <si>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</si>
  <si>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</si>
  <si>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</si>
  <si>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</si>
  <si>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</si>
  <si>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</si>
  <si>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</si>
  <si>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</si>
  <si>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</si>
  <si>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</si>
  <si>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</si>
  <si>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</si>
  <si>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</si>
  <si>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</si>
  <si>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</si>
  <si>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</si>
  <si>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</si>
  <si>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</si>
  <si>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</si>
  <si>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</si>
  <si>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</si>
  <si>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</si>
  <si>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</si>
  <si>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</si>
  <si>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</si>
  <si>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</si>
  <si>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</si>
  <si>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</si>
  <si>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</si>
  <si>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</si>
  <si>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</si>
  <si>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</si>
  <si>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</si>
  <si>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</si>
  <si>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</si>
  <si>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</si>
  <si>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</si>
  <si>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</si>
  <si>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</si>
  <si>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</si>
  <si>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</si>
  <si>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</si>
  <si>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</si>
  <si>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</si>
  <si>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</si>
  <si>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</si>
  <si>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</si>
  <si>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</si>
  <si>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</si>
  <si>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</si>
  <si>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</si>
  <si>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</si>
  <si>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</si>
  <si>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</si>
  <si>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</si>
  <si>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</si>
  <si>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</si>
  <si>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</si>
  <si>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</si>
  <si>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</si>
  <si>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</si>
  <si>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</si>
  <si>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</si>
  <si>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</si>
  <si>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</si>
  <si>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</si>
  <si>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</si>
  <si>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</si>
  <si>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</si>
  <si>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</si>
  <si>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</si>
  <si>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</si>
  <si>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</si>
  <si>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</si>
  <si>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</si>
  <si>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</si>
  <si>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</si>
  <si>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</si>
  <si>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</si>
  <si>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</si>
  <si>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</si>
  <si>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</si>
  <si>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</si>
  <si>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</si>
  <si>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</si>
  <si>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</si>
  <si>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</si>
  <si>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</si>
  <si>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</si>
  <si>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</si>
  <si>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</si>
  <si>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</si>
  <si>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</si>
  <si>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</si>
  <si>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</si>
  <si>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</si>
  <si>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</si>
  <si>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</si>
  <si>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</si>
  <si>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</si>
  <si>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</si>
  <si>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</si>
  <si>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</si>
  <si>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</si>
  <si>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</si>
  <si>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</si>
  <si>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</si>
  <si>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</si>
  <si>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</si>
  <si>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</si>
  <si>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</si>
  <si>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</si>
  <si>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</si>
  <si>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</si>
  <si>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</si>
  <si>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</si>
  <si>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</si>
  <si>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</si>
  <si>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</si>
  <si>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</si>
  <si>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</si>
  <si>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</si>
  <si>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</si>
  <si>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</si>
  <si>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</si>
  <si>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</si>
  <si>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</si>
  <si>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</si>
  <si>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</si>
  <si>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</si>
  <si>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</si>
  <si>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</si>
  <si>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</si>
  <si>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</si>
  <si>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</si>
  <si>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</si>
  <si>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</si>
  <si>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</si>
  <si>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</si>
  <si>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</si>
  <si>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</si>
  <si>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</si>
  <si>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</si>
  <si>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</si>
  <si>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</si>
  <si>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</si>
  <si>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</si>
  <si>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</si>
  <si>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</si>
  <si>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</si>
  <si>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</si>
  <si>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</si>
  <si>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</si>
  <si>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</si>
  <si>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</si>
  <si>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</si>
  <si>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</si>
  <si>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</si>
  <si>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</si>
  <si>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</si>
  <si>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</si>
  <si>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</si>
  <si>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</si>
  <si>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</si>
  <si>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</si>
  <si>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</si>
  <si>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</si>
  <si>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</si>
  <si>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</si>
  <si>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</si>
  <si>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</si>
  <si>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</si>
  <si>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</si>
  <si>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</si>
  <si>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</si>
  <si>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</si>
  <si>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</si>
  <si>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</si>
  <si>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</si>
  <si>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</si>
  <si>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</si>
  <si>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</si>
  <si>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</si>
  <si>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</si>
  <si>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</si>
  <si>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</si>
  <si>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</si>
  <si>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</si>
  <si>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</si>
  <si>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</si>
  <si>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</si>
  <si>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</si>
  <si>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</si>
  <si>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</si>
  <si>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</si>
  <si>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</si>
  <si>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</si>
  <si>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</si>
  <si>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</si>
  <si>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</si>
  <si>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</si>
  <si>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</si>
  <si>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</si>
  <si>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</si>
  <si>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</si>
  <si>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</si>
  <si>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</si>
  <si>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</si>
  <si>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</si>
  <si>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</si>
  <si>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</si>
  <si>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</si>
  <si>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</si>
  <si>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</si>
  <si>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</si>
  <si>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</si>
  <si>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</si>
  <si>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</si>
  <si>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</si>
  <si>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</si>
  <si>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</si>
  <si>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</si>
  <si>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</si>
  <si>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</si>
  <si>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</si>
  <si>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</si>
  <si>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</si>
  <si>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</si>
  <si>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</si>
  <si>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</si>
  <si>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</si>
  <si>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</si>
  <si>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</si>
  <si>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</si>
  <si>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</si>
  <si>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</si>
  <si>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</si>
  <si>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</si>
  <si>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</si>
  <si>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</si>
  <si>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</si>
  <si>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</si>
  <si>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</si>
  <si>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</si>
  <si>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</si>
  <si>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</si>
  <si>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</si>
  <si>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</si>
  <si>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</si>
  <si>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</si>
  <si>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</si>
  <si>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</si>
  <si>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</si>
  <si>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</si>
  <si>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</si>
  <si>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</si>
  <si>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</si>
  <si>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</si>
  <si>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</si>
  <si>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</si>
  <si>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</si>
  <si>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</si>
  <si>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</si>
  <si>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</si>
  <si>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</si>
  <si>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</si>
  <si>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</si>
  <si>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</si>
  <si>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</si>
  <si>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</si>
  <si>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</si>
  <si>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</si>
  <si>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</si>
  <si>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</si>
  <si>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</si>
  <si>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</si>
  <si>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</si>
  <si>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</si>
  <si>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</si>
  <si>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</si>
  <si>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</si>
  <si>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</si>
  <si>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</si>
  <si>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</si>
  <si>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</si>
  <si>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</si>
  <si>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</si>
  <si>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</si>
  <si>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</si>
  <si>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</si>
  <si>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</si>
  <si>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</si>
  <si>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</si>
  <si>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</si>
  <si>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</si>
  <si>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</si>
  <si>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</si>
  <si>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</si>
  <si>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</si>
  <si>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</si>
  <si>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</si>
  <si>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</si>
  <si>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</si>
  <si>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</si>
  <si>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</si>
  <si>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</si>
  <si>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</si>
  <si>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</si>
  <si>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</si>
  <si>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</si>
  <si>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</si>
  <si>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</si>
  <si>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</si>
  <si>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</si>
  <si>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</si>
  <si>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</si>
  <si>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</si>
  <si>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</si>
  <si>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</si>
  <si>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</si>
  <si>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</si>
  <si>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</si>
  <si>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</si>
  <si>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</si>
  <si>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</si>
  <si>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</si>
  <si>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</si>
  <si>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</si>
  <si>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</si>
  <si>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</si>
  <si>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</si>
  <si>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</si>
  <si>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</si>
  <si>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</si>
  <si>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</si>
  <si>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</si>
  <si>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</si>
  <si>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</si>
  <si>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</si>
  <si>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</si>
  <si>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</si>
  <si>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</si>
  <si>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</si>
  <si>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</si>
  <si>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</si>
  <si>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</si>
  <si>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</si>
  <si>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</si>
  <si>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</si>
  <si>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</si>
  <si>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</si>
  <si>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</si>
  <si>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</si>
  <si>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</si>
  <si>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</si>
  <si>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</si>
  <si>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</si>
  <si>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</si>
  <si>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</si>
  <si>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</si>
  <si>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</si>
  <si>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</si>
  <si>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</si>
  <si>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</si>
  <si>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</si>
  <si>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</si>
  <si>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</si>
  <si>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</si>
  <si>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</si>
  <si>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</si>
  <si>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</si>
  <si>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</si>
  <si>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</si>
  <si>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</si>
  <si>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</si>
  <si>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</si>
  <si>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</si>
  <si>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</si>
  <si>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</si>
  <si>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</si>
  <si>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</si>
  <si>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</si>
  <si>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</si>
  <si>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</si>
  <si>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</si>
  <si>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</si>
  <si>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</si>
  <si>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</si>
  <si>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</si>
  <si>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</si>
  <si>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</si>
  <si>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</si>
  <si>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</si>
  <si>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</si>
  <si>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</si>
  <si>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</si>
  <si>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</si>
  <si>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</si>
  <si>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</si>
  <si>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</si>
  <si>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</si>
  <si>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</si>
  <si>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</si>
  <si>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</si>
  <si>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</si>
  <si>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</si>
  <si>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</si>
  <si>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</si>
  <si>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</si>
  <si>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</si>
  <si>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</si>
  <si>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</si>
  <si>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</si>
  <si>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</si>
  <si>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</si>
  <si>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</si>
  <si>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</si>
  <si>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</si>
  <si>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</si>
  <si>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</si>
  <si>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</si>
  <si>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</si>
  <si>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</si>
  <si>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</si>
  <si>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</si>
  <si>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</si>
  <si>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</si>
  <si>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</si>
  <si>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</si>
  <si>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</si>
  <si>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</si>
  <si>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</si>
  <si>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</si>
  <si>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</si>
  <si>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</si>
  <si>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</si>
  <si>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</si>
  <si>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</si>
  <si>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</si>
  <si>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</si>
  <si>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</si>
  <si>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</si>
  <si>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</si>
  <si>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</si>
  <si>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</si>
  <si>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</si>
  <si>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</si>
  <si>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</si>
  <si>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</si>
  <si>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</si>
  <si>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</si>
  <si>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</si>
  <si>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</si>
  <si>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</si>
  <si>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</si>
  <si>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</si>
  <si>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</si>
  <si>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</si>
  <si>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</si>
  <si>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</si>
  <si>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</si>
  <si>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</si>
  <si>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</si>
  <si>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</si>
  <si>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</si>
  <si>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</si>
  <si>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</si>
  <si>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</si>
  <si>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</si>
  <si>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</si>
  <si>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</si>
  <si>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</si>
  <si>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</si>
  <si>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</si>
  <si>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</si>
  <si>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</si>
  <si>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</si>
  <si>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</si>
  <si>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</si>
  <si>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</si>
  <si>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</si>
  <si>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</si>
  <si>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</si>
  <si>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</si>
  <si>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</si>
  <si>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</si>
  <si>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</si>
  <si>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</si>
  <si>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</si>
  <si>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</si>
  <si>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</si>
  <si>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</si>
  <si>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</si>
  <si>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</si>
  <si>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</si>
  <si>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</si>
  <si>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</si>
  <si>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</si>
  <si>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</si>
  <si>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</si>
  <si>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</si>
  <si>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</si>
  <si>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</si>
  <si>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</si>
  <si>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</si>
  <si>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</si>
  <si>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</si>
  <si>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</si>
  <si>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</si>
  <si>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</si>
  <si>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</si>
  <si>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</si>
  <si>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</si>
  <si>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</si>
  <si>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</si>
  <si>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</si>
  <si>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</si>
  <si>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</si>
  <si>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</si>
  <si>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</si>
  <si>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</si>
  <si>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</si>
  <si>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</si>
  <si>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</si>
  <si>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</si>
  <si>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</si>
  <si>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</si>
  <si>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</si>
  <si>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</si>
  <si>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</si>
  <si>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</si>
  <si>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</si>
  <si>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</si>
  <si>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</si>
  <si>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</si>
  <si>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</si>
  <si>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</si>
  <si>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</si>
  <si>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</si>
  <si>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</si>
  <si>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</si>
  <si>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</si>
  <si>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</si>
  <si>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</si>
  <si>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</si>
  <si>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</si>
  <si>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</si>
  <si>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</si>
  <si>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</si>
  <si>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</si>
  <si>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</si>
  <si>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</si>
  <si>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</si>
  <si>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</si>
  <si>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</si>
  <si>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</si>
  <si>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</si>
  <si>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</si>
  <si>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</si>
  <si>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</si>
  <si>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</si>
  <si>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</si>
  <si>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</si>
  <si>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</si>
  <si>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</si>
  <si>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</si>
  <si>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</si>
  <si>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</si>
  <si>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</si>
  <si>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</si>
  <si>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</si>
  <si>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</si>
  <si>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</si>
  <si>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</si>
  <si>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</si>
  <si>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</si>
  <si>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</si>
  <si>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</si>
  <si>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</si>
  <si>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</si>
  <si>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</si>
  <si>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</si>
  <si>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</si>
  <si>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</si>
  <si>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</si>
  <si>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</si>
  <si>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</si>
  <si>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</si>
  <si>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</si>
  <si>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</si>
  <si>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</si>
  <si>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</si>
  <si>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</si>
  <si>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</si>
  <si>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</si>
  <si>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</si>
  <si>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</si>
  <si>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</si>
  <si>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</si>
  <si>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</si>
  <si>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</si>
  <si>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</si>
  <si>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</si>
  <si>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</si>
  <si>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</si>
  <si>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</si>
  <si>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</si>
  <si>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</si>
  <si>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</si>
  <si>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</si>
  <si>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</si>
  <si>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</si>
  <si>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</si>
  <si>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</si>
  <si>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</si>
  <si>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</si>
  <si>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</si>
  <si>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</si>
  <si>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</si>
  <si>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</si>
  <si>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</si>
  <si>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</si>
  <si>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</si>
  <si>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</si>
  <si>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</si>
  <si>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</si>
  <si>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</si>
  <si>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</si>
  <si>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</si>
  <si>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</si>
  <si>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</si>
  <si>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</si>
  <si>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</si>
  <si>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</si>
  <si>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</si>
  <si>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</si>
  <si>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</si>
  <si>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</si>
  <si>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</si>
  <si>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</si>
  <si>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</si>
  <si>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</si>
  <si>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</si>
  <si>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</si>
  <si>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</si>
  <si>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</si>
  <si>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</si>
  <si>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</si>
  <si>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</si>
  <si>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</si>
  <si>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</si>
  <si>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</si>
  <si>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</si>
  <si>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</si>
  <si>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</si>
  <si>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</si>
  <si>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</si>
  <si>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</si>
  <si>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</si>
  <si>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</si>
  <si>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</si>
  <si>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</si>
  <si>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</si>
  <si>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</si>
  <si>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</si>
  <si>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</si>
  <si>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</si>
  <si>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</si>
  <si>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</si>
  <si>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</si>
  <si>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</si>
  <si>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</si>
  <si>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</si>
  <si>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</si>
  <si>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</si>
  <si>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</si>
  <si>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</si>
  <si>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</si>
  <si>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</si>
  <si>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</si>
  <si>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</si>
  <si>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</si>
  <si>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</si>
  <si>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</si>
  <si>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</si>
  <si>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</si>
  <si>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</si>
  <si>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</si>
  <si>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</si>
  <si>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</si>
  <si>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</si>
  <si>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</si>
  <si>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</si>
  <si>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</si>
  <si>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</si>
  <si>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</si>
  <si>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</si>
  <si>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</si>
  <si>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</si>
  <si>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</si>
  <si>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</si>
  <si>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</si>
  <si>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</si>
  <si>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</si>
  <si>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</si>
  <si>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</si>
  <si>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</si>
  <si>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</si>
  <si>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</si>
  <si>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</si>
  <si>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</si>
  <si>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</si>
  <si>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</si>
  <si>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</si>
  <si>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</si>
  <si>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</si>
  <si>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</si>
  <si>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</si>
  <si>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</si>
  <si>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</si>
  <si>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</si>
  <si>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</si>
  <si>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</si>
  <si>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</si>
  <si>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</si>
  <si>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</si>
  <si>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</si>
  <si>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</si>
  <si>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</si>
  <si>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</si>
  <si>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</si>
  <si>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</si>
  <si>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</si>
  <si>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</si>
  <si>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</si>
  <si>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</si>
  <si>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</si>
  <si>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</si>
  <si>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</si>
  <si>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</si>
  <si>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</si>
  <si>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</si>
  <si>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</si>
  <si>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</si>
  <si>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</si>
  <si>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</si>
  <si>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</si>
  <si>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</si>
  <si>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</si>
  <si>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</si>
  <si>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</si>
  <si>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</si>
  <si>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</si>
  <si>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</si>
  <si>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</si>
  <si>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</si>
  <si>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</si>
  <si>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</si>
  <si>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</si>
  <si>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</si>
  <si>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</si>
  <si>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</si>
  <si>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</si>
  <si>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</si>
  <si>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</si>
  <si>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</si>
  <si>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</si>
  <si>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</si>
  <si>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</si>
  <si>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</si>
  <si>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</si>
  <si>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</si>
  <si>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</si>
  <si>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</si>
  <si>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</si>
  <si>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</si>
  <si>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</si>
  <si>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</si>
  <si>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</si>
  <si>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</si>
  <si>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</si>
  <si>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</si>
  <si>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</si>
  <si>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</si>
  <si>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</si>
  <si>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</si>
  <si>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</si>
  <si>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</si>
  <si>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</si>
  <si>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</si>
  <si>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</si>
  <si>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</si>
  <si>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</si>
  <si>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</si>
  <si>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</si>
  <si>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</si>
  <si>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</si>
  <si>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</si>
  <si>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</si>
  <si>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</si>
  <si>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</si>
  <si>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</si>
  <si>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</si>
  <si>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</si>
  <si>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</si>
  <si>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</si>
  <si>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</si>
  <si>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</si>
  <si>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</si>
  <si>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</si>
  <si>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</si>
  <si>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</si>
  <si>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</si>
  <si>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</si>
  <si>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</si>
  <si>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</si>
  <si>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</si>
  <si>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</si>
  <si>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</si>
  <si>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</si>
  <si>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</si>
  <si>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</si>
  <si>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</si>
  <si>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</si>
  <si>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</si>
  <si>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</si>
  <si>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</si>
  <si>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</si>
  <si>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</si>
  <si>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</si>
  <si>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</si>
  <si>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</si>
  <si>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</si>
  <si>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</si>
  <si>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</si>
  <si>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</si>
  <si>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</si>
  <si>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</si>
  <si>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</si>
  <si>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</si>
  <si>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</si>
  <si>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</si>
  <si>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</si>
  <si>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</si>
  <si>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</si>
  <si>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</si>
  <si>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</si>
  <si>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</si>
  <si>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</si>
  <si>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</si>
  <si>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</si>
  <si>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</si>
  <si>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</si>
  <si>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</si>
  <si>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</si>
  <si>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</si>
  <si>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</si>
  <si>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</si>
  <si>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</si>
  <si>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</si>
  <si>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</si>
  <si>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</si>
  <si>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</si>
  <si>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</si>
  <si>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</si>
  <si>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</si>
  <si>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</si>
  <si>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</si>
  <si>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</si>
  <si>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</si>
  <si>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</si>
  <si>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</si>
  <si>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</si>
  <si>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</si>
  <si>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</si>
  <si>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</si>
  <si>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</si>
  <si>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</si>
  <si>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</si>
  <si>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</si>
  <si>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</si>
  <si>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</si>
  <si>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</si>
  <si>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</si>
  <si>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</si>
  <si>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</si>
  <si>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</si>
  <si>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</si>
  <si>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</si>
  <si>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</si>
  <si>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</si>
  <si>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</si>
  <si>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</si>
  <si>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</si>
  <si>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</si>
  <si>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</si>
  <si>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</si>
  <si>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</si>
  <si>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</si>
  <si>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</si>
  <si>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</si>
  <si>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</si>
  <si>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</si>
  <si>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</si>
  <si>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</si>
  <si>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</si>
  <si>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</si>
  <si>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</si>
  <si>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</si>
  <si>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</si>
  <si>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</si>
  <si>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</si>
  <si>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</si>
  <si>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</si>
  <si>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</si>
  <si>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</si>
  <si>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</si>
  <si>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</si>
  <si>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</si>
  <si>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</si>
  <si>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</si>
  <si>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</si>
  <si>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</si>
  <si>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</si>
  <si>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</si>
  <si>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</si>
  <si>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</si>
  <si>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</si>
  <si>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</si>
  <si>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</si>
  <si>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</si>
  <si>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</si>
  <si>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</si>
  <si>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</si>
  <si>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</si>
  <si>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</si>
  <si>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</si>
  <si>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</si>
  <si>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</si>
  <si>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</si>
  <si>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</si>
  <si>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</si>
  <si>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</si>
  <si>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</si>
  <si>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</si>
  <si>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</si>
  <si>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</si>
  <si>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</si>
  <si>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</si>
  <si>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</si>
  <si>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</si>
  <si>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</si>
  <si>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</si>
  <si>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</si>
  <si>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</si>
  <si>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</si>
  <si>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</si>
  <si>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</si>
  <si>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</si>
  <si>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</si>
  <si>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</si>
  <si>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</si>
  <si>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</si>
  <si>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</si>
  <si>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</si>
  <si>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</si>
  <si>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</si>
  <si>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</si>
  <si>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</si>
  <si>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</si>
  <si>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</si>
  <si>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</si>
  <si>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</si>
  <si>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Sum of CF_attrition count</t>
  </si>
  <si>
    <t>Average of Age</t>
  </si>
  <si>
    <t>Total Employee</t>
  </si>
  <si>
    <t>Attrition Count</t>
  </si>
  <si>
    <t>Average Age</t>
  </si>
  <si>
    <t>Active Employees</t>
  </si>
  <si>
    <t>Attrition Rate</t>
  </si>
  <si>
    <t>Average of Job Satisfaction</t>
  </si>
  <si>
    <t xml:space="preserve">Rating </t>
  </si>
  <si>
    <t>Balance Rating</t>
  </si>
  <si>
    <t>Count of Employee Count</t>
  </si>
  <si>
    <t>male</t>
  </si>
  <si>
    <t>job role</t>
  </si>
  <si>
    <t>Attirition</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</si>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</sst>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7">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style="thin">
        <color rgb="FFABABAB"/>
      </right>
      <top style="thin">
        <color indexed="65"/>
      </top>
      <bottom style="thin">
        <color rgb="FFABABAB"/>
      </bottom>
      <diagonal/>
    </border>
  </borders>
  <cellStyleXfs count="2">
    <xf numFmtId="0" fontId="0" fillId="0" borderId="0"/>
    <xf numFmtId="9" fontId="1" fillId="0" borderId="0" applyFont="0" applyFill="0" applyBorder="0" applyAlignment="0" applyProtection="0"/>
  </cellStyleXfs>
  <cellXfs count="34">
    <xf numFmtId="0" fontId="0" fillId="0" borderId="0" xfId="0" applyFont="1" applyAlignment="1"/>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6" xfId="0" applyFont="1" applyBorder="1" applyAlignment="1"/>
    <xf numFmtId="0" fontId="0" fillId="0" borderId="7" xfId="0" applyFont="1" applyBorder="1" applyAlignment="1"/>
    <xf numFmtId="0" fontId="0" fillId="0" borderId="8" xfId="0" applyFont="1" applyBorder="1" applyAlignment="1"/>
    <xf numFmtId="0" fontId="0" fillId="0" borderId="9" xfId="0" applyFont="1" applyBorder="1" applyAlignment="1"/>
    <xf numFmtId="0" fontId="0" fillId="0" borderId="10" xfId="0" pivotButton="1" applyFont="1" applyBorder="1" applyAlignment="1"/>
    <xf numFmtId="0" fontId="0" fillId="0" borderId="10" xfId="0" applyFont="1" applyBorder="1" applyAlignment="1"/>
    <xf numFmtId="0" fontId="0" fillId="0" borderId="12" xfId="0" applyNumberFormat="1" applyFont="1" applyBorder="1" applyAlignment="1"/>
    <xf numFmtId="0" fontId="0" fillId="0" borderId="13" xfId="0" applyFont="1" applyBorder="1" applyAlignment="1"/>
    <xf numFmtId="0" fontId="0" fillId="0" borderId="14" xfId="0" applyNumberFormat="1" applyFont="1" applyBorder="1" applyAlignment="1"/>
    <xf numFmtId="0" fontId="0" fillId="0" borderId="15" xfId="0" applyNumberFormat="1" applyFont="1" applyBorder="1" applyAlignment="1"/>
    <xf numFmtId="9" fontId="0" fillId="0" borderId="0" xfId="1" applyFont="1" applyAlignment="1"/>
    <xf numFmtId="10" fontId="0" fillId="0" borderId="0" xfId="1" applyNumberFormat="1" applyFont="1" applyAlignment="1"/>
    <xf numFmtId="164" fontId="0" fillId="0" borderId="0" xfId="0" applyNumberFormat="1" applyFont="1" applyAlignment="1"/>
    <xf numFmtId="1" fontId="0" fillId="0" borderId="0" xfId="0" applyNumberFormat="1" applyFont="1" applyAlignment="1"/>
    <xf numFmtId="164" fontId="0" fillId="0" borderId="12" xfId="0" applyNumberFormat="1"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10" xfId="0" applyNumberFormat="1" applyFont="1" applyBorder="1" applyAlignment="1"/>
    <xf numFmtId="0" fontId="0" fillId="0" borderId="4" xfId="0" applyFont="1" applyBorder="1" applyAlignment="1">
      <alignment horizontal="left"/>
    </xf>
    <xf numFmtId="0" fontId="0" fillId="0" borderId="11" xfId="0" applyNumberFormat="1" applyFont="1" applyBorder="1" applyAlignment="1"/>
    <xf numFmtId="0" fontId="0" fillId="0" borderId="14" xfId="0" applyFont="1" applyBorder="1" applyAlignment="1">
      <alignment horizontal="left"/>
    </xf>
    <xf numFmtId="0" fontId="2" fillId="0" borderId="0" xfId="0" applyFont="1" applyAlignment="1"/>
    <xf numFmtId="0" fontId="0" fillId="0" borderId="7" xfId="0" applyFont="1" applyBorder="1" applyAlignment="1">
      <alignment horizontal="left"/>
    </xf>
    <xf numFmtId="0" fontId="0" fillId="0" borderId="16" xfId="0" applyNumberFormat="1" applyFont="1" applyBorder="1" applyAlignment="1"/>
    <xf numFmtId="10" fontId="0" fillId="0" borderId="10" xfId="0" applyNumberFormat="1" applyFont="1" applyBorder="1" applyAlignment="1"/>
    <xf numFmtId="10" fontId="0" fillId="0" borderId="12" xfId="0" applyNumberFormat="1" applyFont="1" applyBorder="1" applyAlignment="1"/>
    <xf numFmtId="0" fontId="3" fillId="0" borderId="0" xfId="0" applyFont="1" applyAlignment="1"/>
    <xf numFmtId="0" fontId="3" fillId="0" borderId="0" xfId="0" applyFont="1" applyFill="1" applyBorder="1" applyAlignment="1"/>
  </cellXfs>
  <cellStyles count="2">
    <cellStyle name="Normal" xfId="0" builtinId="0"/>
    <cellStyle name="Percent" xfId="1" builtinId="5"/>
  </cellStyles>
  <dxfs count="12">
    <dxf>
      <numFmt numFmtId="164" formatCode="0.0"/>
    </dxf>
    <dxf>
      <numFmt numFmtId="164" formatCode="0.0"/>
    </dxf>
    <dxf>
      <fill>
        <gradientFill degree="90">
          <stop position="0">
            <color rgb="FF906673"/>
          </stop>
          <stop position="1">
            <color theme="4"/>
          </stop>
        </gradientFill>
      </fill>
    </dxf>
    <dxf>
      <fill>
        <gradientFill degree="90">
          <stop position="0">
            <color rgb="FF906673"/>
          </stop>
          <stop position="1">
            <color theme="4"/>
          </stop>
        </gradientFill>
      </fill>
    </dxf>
    <dxf>
      <fill>
        <patternFill>
          <bgColor theme="9" tint="0.59996337778862885"/>
        </patternFill>
      </fill>
    </dxf>
    <dxf>
      <fill>
        <patternFill>
          <bgColor theme="2" tint="-0.24994659260841701"/>
        </patternFill>
      </fill>
    </dxf>
    <dxf>
      <fill>
        <gradientFill type="path">
          <stop position="0">
            <color theme="0"/>
          </stop>
          <stop position="1">
            <color theme="4"/>
          </stop>
        </gradientFill>
      </fill>
    </dxf>
    <dxf>
      <fill>
        <patternFill>
          <fgColor rgb="FF828282"/>
          <bgColor theme="7" tint="-0.499984740745262"/>
        </patternFill>
      </fill>
    </dxf>
    <dxf>
      <fill>
        <patternFill>
          <bgColor theme="6" tint="0.3999450666829432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6">
    <tableStyle name="Data-style" pivot="0" count="3" xr9:uid="{00000000-0011-0000-FFFF-FFFF00000000}">
      <tableStyleElement type="headerRow" dxfId="11"/>
      <tableStyleElement type="firstRowStripe" dxfId="10"/>
      <tableStyleElement type="secondRowStripe" dxfId="9"/>
    </tableStyle>
    <tableStyle name="Slicer Style 1" pivot="0" table="0" count="1" xr9:uid="{C6592C7E-CC21-4256-8A13-0BDC7C582FAD}"/>
    <tableStyle name="Slicer Style 2" pivot="0" table="0" count="5" xr9:uid="{533D9E5B-B616-4993-A55D-FCB3111B6C9D}">
      <tableStyleElement type="wholeTable" dxfId="8"/>
      <tableStyleElement type="headerRow" dxfId="7"/>
    </tableStyle>
    <tableStyle name="Slicer Style 3" pivot="0" table="0" count="5" xr9:uid="{E3700368-CCCB-4367-9CE3-B5E5182D9204}">
      <tableStyleElement type="headerRow" dxfId="6"/>
    </tableStyle>
    <tableStyle name="Slicer Style 4" pivot="0" table="0" count="6" xr9:uid="{CA490E19-3922-4108-BDBA-07F73B1B55DB}">
      <tableStyleElement type="wholeTable" dxfId="5"/>
      <tableStyleElement type="headerRow" dxfId="4"/>
    </tableStyle>
    <tableStyle name="Slicer Style 5" pivot="0" table="0" count="5" xr9:uid="{6716B269-6BCF-4F82-A729-2E4C39756A4B}">
      <tableStyleElement type="wholeTable" dxfId="3"/>
      <tableStyleElement type="headerRow" dxfId="2"/>
    </tableStyle>
  </tableStyles>
  <colors>
    <mruColors>
      <color rgb="FF6087CC"/>
      <color rgb="FF9999DB"/>
      <color rgb="FF7F72D0"/>
      <color rgb="FF9B72B2"/>
      <color rgb="FF8A5AA4"/>
      <color rgb="FF714A86"/>
      <color rgb="FF4B3159"/>
      <color rgb="FF9D6781"/>
      <color rgb="FFB26673"/>
      <color rgb="FF9B4F65"/>
    </mruColors>
  </colors>
  <extLst>
    <ext xmlns:x14="http://schemas.microsoft.com/office/spreadsheetml/2009/9/main" uri="{46F421CA-312F-682f-3DD2-61675219B42D}">
      <x14:dxfs count="15">
        <dxf>
          <fill>
            <gradientFill type="path">
              <stop position="0">
                <color theme="0"/>
              </stop>
              <stop position="1">
                <color theme="4"/>
              </stop>
            </gradientFill>
          </fill>
        </dxf>
        <dxf>
          <fill>
            <gradientFill type="path">
              <stop position="0">
                <color theme="5" tint="0.40000610370189521"/>
              </stop>
              <stop position="1">
                <color theme="4"/>
              </stop>
            </gradientFill>
          </fill>
        </dxf>
        <dxf>
          <fill>
            <gradientFill type="path" left="0.5" right="0.5" top="0.5" bottom="0.5">
              <stop position="0">
                <color theme="0"/>
              </stop>
              <stop position="1">
                <color theme="4"/>
              </stop>
            </gradientFill>
          </fill>
        </dxf>
        <dxf>
          <fill>
            <patternFill>
              <bgColor rgb="FF906673"/>
            </patternFill>
          </fill>
        </dxf>
        <dxf>
          <fill>
            <patternFill>
              <bgColor rgb="FFBD8D92"/>
            </patternFill>
          </fill>
        </dxf>
        <dxf>
          <fill>
            <patternFill>
              <bgColor rgb="FF9999FF"/>
            </patternFill>
          </fill>
        </dxf>
        <dxf>
          <fill>
            <patternFill>
              <bgColor rgb="FFA1A9E1"/>
            </patternFill>
          </fill>
        </dxf>
        <dxf>
          <fill>
            <gradientFill type="path" left="0.5" right="0.5" top="0.5" bottom="0.5">
              <stop position="0">
                <color theme="0"/>
              </stop>
              <stop position="1">
                <color theme="4"/>
              </stop>
            </gradientFill>
          </fill>
        </dxf>
        <dxf>
          <fill>
            <gradientFill type="path">
              <stop position="0">
                <color theme="0"/>
              </stop>
              <stop position="1">
                <color theme="4"/>
              </stop>
            </gradientFill>
          </fill>
        </dxf>
        <dxf>
          <fill>
            <gradientFill type="path">
              <stop position="0">
                <color theme="0"/>
              </stop>
              <stop position="1">
                <color rgb="FF92D050"/>
              </stop>
            </gradientFill>
          </fill>
        </dxf>
        <dxf>
          <fill>
            <patternFill patternType="solid">
              <fgColor auto="1"/>
              <bgColor theme="9" tint="0.39994506668294322"/>
            </patternFill>
          </fill>
        </dxf>
        <dxf>
          <fill>
            <gradientFill type="path">
              <stop position="0">
                <color theme="0"/>
              </stop>
              <stop position="1">
                <color theme="4"/>
              </stop>
            </gradientFill>
          </fill>
        </dxf>
        <dxf>
          <fill>
            <gradientFill type="path">
              <stop position="0">
                <color theme="0"/>
              </stop>
              <stop position="1">
                <color theme="4"/>
              </stop>
            </gradientFill>
          </fill>
        </dxf>
        <dxf>
          <fill>
            <patternFill>
              <bgColor theme="4" tint="0.39994506668294322"/>
            </patternFill>
          </fill>
        </dxf>
        <dxf>
          <font>
            <b/>
            <i val="0"/>
            <sz val="8"/>
            <name val="Calibri"/>
            <family val="2"/>
            <scheme val="minor"/>
          </font>
          <fill>
            <gradientFill type="path">
              <stop position="0">
                <color theme="6" tint="-0.49803155613879818"/>
              </stop>
              <stop position="1">
                <color theme="4"/>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4"/>
          </x14:slicerStyleElements>
        </x14:slicerStyle>
        <x14:slicerStyle name="Slicer Style 2">
          <x14:slicerStyleElements>
            <x14:slicerStyleElement type="unselectedItemWithData" dxfId="13"/>
            <x14:slicerStyleElement type="selectedItemWithData" dxfId="12"/>
            <x14:slicerStyleElement type="selectedItemWithNoData" dxfId="11"/>
          </x14:slicerStyleElements>
        </x14:slicerStyle>
        <x14:slicerStyle name="Slicer Style 3">
          <x14:slicerStyleElements>
            <x14:slicerStyleElement type="unselectedItemWithData" dxfId="10"/>
            <x14:slicerStyleElement type="unselectedItemWithNoData" dxfId="9"/>
            <x14:slicerStyleElement type="selectedItemWithData" dxfId="8"/>
            <x14:slicerStyleElement type="selectedItemWithNoData" dxfId="7"/>
          </x14:slicerStyleElements>
        </x14:slicerStyle>
        <x14:slicerStyle name="Slicer Style 4">
          <x14:slicerStyleElements>
            <x14:slicerStyleElement type="unselectedItemWithData" dxfId="6"/>
            <x14:slicerStyleElement type="unselectedItemWithNoData" dxfId="5"/>
            <x14:slicerStyleElement type="selectedItemWithData" dxfId="4"/>
            <x14:slicerStyleElement type="selectedItemWithNoData" dxfId="3"/>
          </x14:slicerStyleElements>
        </x14:slicerStyle>
        <x14:slicerStyle name="Slicer Style 5">
          <x14:slicerStyleElements>
            <x14:slicerStyleElement type="unselectedItemWithData" dxfId="2"/>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5"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8"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D7-4639-899C-2A91A4928F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D7-4639-899C-2A91A4928F4E}"/>
              </c:ext>
            </c:extLst>
          </c:dPt>
          <c:val>
            <c:numRef>
              <c:f>RATING!$C$9:$C$10</c:f>
              <c:numCache>
                <c:formatCode>General</c:formatCode>
                <c:ptCount val="2"/>
                <c:pt idx="0">
                  <c:v>0.53558394160583944</c:v>
                </c:pt>
                <c:pt idx="1">
                  <c:v>0.46441605839416056</c:v>
                </c:pt>
              </c:numCache>
            </c:numRef>
          </c:val>
          <c:extLst>
            <c:ext xmlns:c16="http://schemas.microsoft.com/office/drawing/2014/chart" uri="{C3380CC4-5D6E-409C-BE32-E72D297353CC}">
              <c16:uniqueId val="{00000000-4162-4510-ABF5-2825212B0C8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RATING!$B$9</c:f>
              <c:numCache>
                <c:formatCode>0.0</c:formatCode>
                <c:ptCount val="1"/>
                <c:pt idx="0">
                  <c:v>2.1423357664233578</c:v>
                </c:pt>
              </c:numCache>
            </c:numRef>
          </c:val>
          <c:extLst>
            <c:ext xmlns:c16="http://schemas.microsoft.com/office/drawing/2014/chart" uri="{C3380CC4-5D6E-409C-BE32-E72D297353CC}">
              <c16:uniqueId val="{00000000-69C5-49FC-8DAC-D39655ED6579}"/>
            </c:ext>
          </c:extLst>
        </c:ser>
        <c:ser>
          <c:idx val="1"/>
          <c:order val="1"/>
          <c:spPr>
            <a:solidFill>
              <a:schemeClr val="accent2"/>
            </a:solidFill>
            <a:ln>
              <a:noFill/>
            </a:ln>
            <a:effectLst/>
          </c:spPr>
          <c:invertIfNegative val="0"/>
          <c:val>
            <c:numRef>
              <c:f>RATING!$B$10</c:f>
              <c:numCache>
                <c:formatCode>0.0</c:formatCode>
                <c:ptCount val="1"/>
                <c:pt idx="0">
                  <c:v>1.8576642335766422</c:v>
                </c:pt>
              </c:numCache>
            </c:numRef>
          </c:val>
          <c:extLst>
            <c:ext xmlns:c16="http://schemas.microsoft.com/office/drawing/2014/chart" uri="{C3380CC4-5D6E-409C-BE32-E72D297353CC}">
              <c16:uniqueId val="{00000004-69C5-49FC-8DAC-D39655ED6579}"/>
            </c:ext>
          </c:extLst>
        </c:ser>
        <c:dLbls>
          <c:showLegendKey val="0"/>
          <c:showVal val="0"/>
          <c:showCatName val="0"/>
          <c:showSerName val="0"/>
          <c:showPercent val="0"/>
          <c:showBubbleSize val="0"/>
        </c:dLbls>
        <c:gapWidth val="0"/>
        <c:overlap val="100"/>
        <c:axId val="26414368"/>
        <c:axId val="26417728"/>
      </c:barChart>
      <c:catAx>
        <c:axId val="26414368"/>
        <c:scaling>
          <c:orientation val="minMax"/>
        </c:scaling>
        <c:delete val="1"/>
        <c:axPos val="l"/>
        <c:majorTickMark val="out"/>
        <c:minorTickMark val="none"/>
        <c:tickLblPos val="nextTo"/>
        <c:crossAx val="26417728"/>
        <c:crosses val="autoZero"/>
        <c:auto val="1"/>
        <c:lblAlgn val="ctr"/>
        <c:lblOffset val="100"/>
        <c:noMultiLvlLbl val="0"/>
      </c:catAx>
      <c:valAx>
        <c:axId val="26417728"/>
        <c:scaling>
          <c:orientation val="minMax"/>
          <c:max val="4"/>
        </c:scaling>
        <c:delete val="1"/>
        <c:axPos val="b"/>
        <c:numFmt formatCode="0.0" sourceLinked="1"/>
        <c:majorTickMark val="out"/>
        <c:minorTickMark val="none"/>
        <c:tickLblPos val="nextTo"/>
        <c:crossAx val="2641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5D-4A51-A202-C583199174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5D-4A51-A202-C58319917418}"/>
              </c:ext>
            </c:extLst>
          </c:dPt>
          <c:val>
            <c:numRef>
              <c:f>GENDER!$C$12:$C$13</c:f>
              <c:numCache>
                <c:formatCode>0%</c:formatCode>
                <c:ptCount val="2"/>
                <c:pt idx="0">
                  <c:v>1</c:v>
                </c:pt>
                <c:pt idx="1">
                  <c:v>0</c:v>
                </c:pt>
              </c:numCache>
            </c:numRef>
          </c:val>
          <c:extLst>
            <c:ext xmlns:c16="http://schemas.microsoft.com/office/drawing/2014/chart" uri="{C3380CC4-5D6E-409C-BE32-E72D297353CC}">
              <c16:uniqueId val="{00000000-E547-408F-B318-2478B8608AF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project.xlsx]education by attrition!PivotTable10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90274200902184"/>
          <c:y val="0"/>
          <c:w val="0.6960972579909781"/>
          <c:h val="0.89814814814814814"/>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1</c:v>
                </c:pt>
                <c:pt idx="1">
                  <c:v>5</c:v>
                </c:pt>
                <c:pt idx="2">
                  <c:v>13</c:v>
                </c:pt>
                <c:pt idx="3">
                  <c:v>16</c:v>
                </c:pt>
                <c:pt idx="4">
                  <c:v>24</c:v>
                </c:pt>
              </c:numCache>
            </c:numRef>
          </c:val>
          <c:extLst>
            <c:ext xmlns:c16="http://schemas.microsoft.com/office/drawing/2014/chart" uri="{C3380CC4-5D6E-409C-BE32-E72D297353CC}">
              <c16:uniqueId val="{00000000-9E4C-4313-8858-CC84F38A3F0A}"/>
            </c:ext>
          </c:extLst>
        </c:ser>
        <c:dLbls>
          <c:dLblPos val="outEnd"/>
          <c:showLegendKey val="0"/>
          <c:showVal val="1"/>
          <c:showCatName val="0"/>
          <c:showSerName val="0"/>
          <c:showPercent val="0"/>
          <c:showBubbleSize val="0"/>
        </c:dLbls>
        <c:gapWidth val="182"/>
        <c:axId val="361324944"/>
        <c:axId val="361333584"/>
      </c:barChart>
      <c:catAx>
        <c:axId val="3613249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33584"/>
        <c:crosses val="autoZero"/>
        <c:auto val="1"/>
        <c:lblAlgn val="ctr"/>
        <c:lblOffset val="100"/>
        <c:noMultiLvlLbl val="0"/>
      </c:catAx>
      <c:valAx>
        <c:axId val="361333584"/>
        <c:scaling>
          <c:orientation val="minMax"/>
        </c:scaling>
        <c:delete val="1"/>
        <c:axPos val="b"/>
        <c:numFmt formatCode="General" sourceLinked="1"/>
        <c:majorTickMark val="out"/>
        <c:minorTickMark val="none"/>
        <c:tickLblPos val="nextTo"/>
        <c:crossAx val="36132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project.xlsx]Departmentwise attirition!PivotTable6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'Departmentwise attirition'!$B$3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EB-4F1A-B5C2-014A40F758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97-42F1-9F3C-D8DF8003BC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97-42F1-9F3C-D8DF8003BC54}"/>
              </c:ext>
            </c:extLst>
          </c:dPt>
          <c:cat>
            <c:strRef>
              <c:f>'Departmentwise attirition'!$A$4:$A$5</c:f>
              <c:strCache>
                <c:ptCount val="1"/>
                <c:pt idx="0">
                  <c:v>R&amp;D</c:v>
                </c:pt>
              </c:strCache>
            </c:strRef>
          </c:cat>
          <c:val>
            <c:numRef>
              <c:f>'Departmentwise attirition'!$B$4:$B$5</c:f>
              <c:numCache>
                <c:formatCode>0.00%</c:formatCode>
                <c:ptCount val="1"/>
                <c:pt idx="0">
                  <c:v>1</c:v>
                </c:pt>
              </c:numCache>
            </c:numRef>
          </c:val>
          <c:extLst>
            <c:ext xmlns:c16="http://schemas.microsoft.com/office/drawing/2014/chart" uri="{C3380CC4-5D6E-409C-BE32-E72D297353CC}">
              <c16:uniqueId val="{00000000-0347-478D-B7A2-C0B964B6BE9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project.xlsx]attrition by age grp!PivotTable7</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grp'!$A$4:$A$9</c:f>
              <c:strCache>
                <c:ptCount val="5"/>
                <c:pt idx="0">
                  <c:v>25 - 34</c:v>
                </c:pt>
                <c:pt idx="1">
                  <c:v>35 - 44</c:v>
                </c:pt>
                <c:pt idx="2">
                  <c:v>Under 25</c:v>
                </c:pt>
                <c:pt idx="3">
                  <c:v>45 - 54</c:v>
                </c:pt>
                <c:pt idx="4">
                  <c:v>Over 55</c:v>
                </c:pt>
              </c:strCache>
            </c:strRef>
          </c:cat>
          <c:val>
            <c:numRef>
              <c:f>'attrition by age grp'!$B$4:$B$9</c:f>
              <c:numCache>
                <c:formatCode>General</c:formatCode>
                <c:ptCount val="5"/>
                <c:pt idx="0">
                  <c:v>26</c:v>
                </c:pt>
                <c:pt idx="1">
                  <c:v>13</c:v>
                </c:pt>
                <c:pt idx="2">
                  <c:v>11</c:v>
                </c:pt>
                <c:pt idx="3">
                  <c:v>5</c:v>
                </c:pt>
                <c:pt idx="4">
                  <c:v>4</c:v>
                </c:pt>
              </c:numCache>
            </c:numRef>
          </c:val>
          <c:extLst>
            <c:ext xmlns:c16="http://schemas.microsoft.com/office/drawing/2014/chart" uri="{C3380CC4-5D6E-409C-BE32-E72D297353CC}">
              <c16:uniqueId val="{00000000-79E4-469C-9828-278CC13B14E3}"/>
            </c:ext>
          </c:extLst>
        </c:ser>
        <c:dLbls>
          <c:dLblPos val="outEnd"/>
          <c:showLegendKey val="0"/>
          <c:showVal val="1"/>
          <c:showCatName val="0"/>
          <c:showSerName val="0"/>
          <c:showPercent val="0"/>
          <c:showBubbleSize val="0"/>
        </c:dLbls>
        <c:gapWidth val="219"/>
        <c:overlap val="-27"/>
        <c:axId val="2050807440"/>
        <c:axId val="2050796400"/>
      </c:barChart>
      <c:catAx>
        <c:axId val="2050807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796400"/>
        <c:crosses val="autoZero"/>
        <c:auto val="1"/>
        <c:lblAlgn val="ctr"/>
        <c:lblOffset val="100"/>
        <c:noMultiLvlLbl val="0"/>
      </c:catAx>
      <c:valAx>
        <c:axId val="2050796400"/>
        <c:scaling>
          <c:orientation val="minMax"/>
        </c:scaling>
        <c:delete val="1"/>
        <c:axPos val="l"/>
        <c:numFmt formatCode="General" sourceLinked="1"/>
        <c:majorTickMark val="out"/>
        <c:minorTickMark val="none"/>
        <c:tickLblPos val="nextTo"/>
        <c:crossAx val="205080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948074058310277"/>
          <c:y val="6.4357708104324221E-3"/>
          <c:w val="1"/>
          <c:h val="0.9278052609985481"/>
        </c:manualLayout>
      </c:layout>
      <c:doughnutChart>
        <c:varyColors val="1"/>
        <c:ser>
          <c:idx val="0"/>
          <c:order val="0"/>
          <c:spPr>
            <a:solidFill>
              <a:schemeClr val="accent6">
                <a:alpha val="94000"/>
              </a:schemeClr>
            </a:solidFill>
          </c:spPr>
          <c:dPt>
            <c:idx val="0"/>
            <c:bubble3D val="0"/>
            <c:spPr>
              <a:solidFill>
                <a:schemeClr val="accent2">
                  <a:lumMod val="50000"/>
                  <a:alpha val="94000"/>
                </a:schemeClr>
              </a:solidFill>
              <a:ln w="19050">
                <a:gradFill>
                  <a:gsLst>
                    <a:gs pos="0">
                      <a:schemeClr val="accent1">
                        <a:lumMod val="5000"/>
                        <a:lumOff val="9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62A2-4075-B262-0A116C6E53FF}"/>
              </c:ext>
            </c:extLst>
          </c:dPt>
          <c:dPt>
            <c:idx val="1"/>
            <c:bubble3D val="0"/>
            <c:spPr>
              <a:solidFill>
                <a:schemeClr val="accent6">
                  <a:alpha val="94000"/>
                </a:schemeClr>
              </a:solidFill>
              <a:ln w="19050">
                <a:solidFill>
                  <a:schemeClr val="lt1"/>
                </a:solidFill>
              </a:ln>
              <a:effectLst/>
            </c:spPr>
            <c:extLst>
              <c:ext xmlns:c16="http://schemas.microsoft.com/office/drawing/2014/chart" uri="{C3380CC4-5D6E-409C-BE32-E72D297353CC}">
                <c16:uniqueId val="{00000003-62A2-4075-B262-0A116C6E53FF}"/>
              </c:ext>
            </c:extLst>
          </c:dPt>
          <c:val>
            <c:numRef>
              <c:f>RATING!$C$9:$C$10</c:f>
              <c:numCache>
                <c:formatCode>General</c:formatCode>
                <c:ptCount val="2"/>
                <c:pt idx="0">
                  <c:v>0.53558394160583944</c:v>
                </c:pt>
                <c:pt idx="1">
                  <c:v>0.46441605839416056</c:v>
                </c:pt>
              </c:numCache>
            </c:numRef>
          </c:val>
          <c:extLst>
            <c:ext xmlns:c16="http://schemas.microsoft.com/office/drawing/2014/chart" uri="{C3380CC4-5D6E-409C-BE32-E72D297353CC}">
              <c16:uniqueId val="{00000004-62A2-4075-B262-0A116C6E53F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86666053937411"/>
          <c:y val="0.48666530822615639"/>
          <c:w val="0.81813329514609867"/>
          <c:h val="0.49964798925639231"/>
        </c:manualLayout>
      </c:layout>
      <c:barChart>
        <c:barDir val="bar"/>
        <c:grouping val="stacked"/>
        <c:varyColors val="0"/>
        <c:ser>
          <c:idx val="0"/>
          <c:order val="0"/>
          <c:spPr>
            <a:solidFill>
              <a:srgbClr val="FFCC00"/>
            </a:solidFill>
            <a:ln>
              <a:noFill/>
            </a:ln>
            <a:effectLst/>
          </c:spPr>
          <c:invertIfNegative val="0"/>
          <c:val>
            <c:numRef>
              <c:f>RATING!$B$9</c:f>
              <c:numCache>
                <c:formatCode>0.0</c:formatCode>
                <c:ptCount val="1"/>
                <c:pt idx="0">
                  <c:v>2.1423357664233578</c:v>
                </c:pt>
              </c:numCache>
            </c:numRef>
          </c:val>
          <c:extLst>
            <c:ext xmlns:c16="http://schemas.microsoft.com/office/drawing/2014/chart" uri="{C3380CC4-5D6E-409C-BE32-E72D297353CC}">
              <c16:uniqueId val="{00000000-BDB6-40A5-A2B7-9EB9107E6698}"/>
            </c:ext>
          </c:extLst>
        </c:ser>
        <c:ser>
          <c:idx val="1"/>
          <c:order val="1"/>
          <c:spPr>
            <a:solidFill>
              <a:schemeClr val="bg2"/>
            </a:solidFill>
            <a:ln>
              <a:noFill/>
            </a:ln>
            <a:effectLst/>
          </c:spPr>
          <c:invertIfNegative val="0"/>
          <c:val>
            <c:numRef>
              <c:f>RATING!$B$10</c:f>
              <c:numCache>
                <c:formatCode>0.0</c:formatCode>
                <c:ptCount val="1"/>
                <c:pt idx="0">
                  <c:v>1.8576642335766422</c:v>
                </c:pt>
              </c:numCache>
            </c:numRef>
          </c:val>
          <c:extLst>
            <c:ext xmlns:c16="http://schemas.microsoft.com/office/drawing/2014/chart" uri="{C3380CC4-5D6E-409C-BE32-E72D297353CC}">
              <c16:uniqueId val="{00000001-BDB6-40A5-A2B7-9EB9107E6698}"/>
            </c:ext>
          </c:extLst>
        </c:ser>
        <c:dLbls>
          <c:showLegendKey val="0"/>
          <c:showVal val="0"/>
          <c:showCatName val="0"/>
          <c:showSerName val="0"/>
          <c:showPercent val="0"/>
          <c:showBubbleSize val="0"/>
        </c:dLbls>
        <c:gapWidth val="0"/>
        <c:overlap val="100"/>
        <c:axId val="26414368"/>
        <c:axId val="26417728"/>
      </c:barChart>
      <c:catAx>
        <c:axId val="26414368"/>
        <c:scaling>
          <c:orientation val="minMax"/>
        </c:scaling>
        <c:delete val="1"/>
        <c:axPos val="l"/>
        <c:majorTickMark val="out"/>
        <c:minorTickMark val="none"/>
        <c:tickLblPos val="nextTo"/>
        <c:crossAx val="26417728"/>
        <c:crosses val="autoZero"/>
        <c:auto val="1"/>
        <c:lblAlgn val="ctr"/>
        <c:lblOffset val="100"/>
        <c:noMultiLvlLbl val="0"/>
      </c:catAx>
      <c:valAx>
        <c:axId val="26417728"/>
        <c:scaling>
          <c:orientation val="minMax"/>
          <c:max val="4"/>
        </c:scaling>
        <c:delete val="1"/>
        <c:axPos val="b"/>
        <c:numFmt formatCode="0.0" sourceLinked="1"/>
        <c:majorTickMark val="out"/>
        <c:minorTickMark val="none"/>
        <c:tickLblPos val="nextTo"/>
        <c:crossAx val="2641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44257275986916"/>
          <c:y val="8.2580022485657129E-2"/>
          <c:w val="0.83357185189635918"/>
          <c:h val="0.91741973788303532"/>
        </c:manualLayout>
      </c:layout>
      <c:doughnutChart>
        <c:varyColors val="1"/>
        <c:ser>
          <c:idx val="0"/>
          <c:order val="0"/>
          <c:spPr>
            <a:ln>
              <a:noFill/>
            </a:ln>
          </c:spPr>
          <c:dPt>
            <c:idx val="0"/>
            <c:bubble3D val="0"/>
            <c:spPr>
              <a:gradFill>
                <a:gsLst>
                  <a:gs pos="45000">
                    <a:srgbClr val="8D3373"/>
                  </a:gs>
                  <a:gs pos="67000">
                    <a:srgbClr val="D749AE"/>
                  </a:gs>
                  <a:gs pos="83000">
                    <a:srgbClr val="D749AE"/>
                  </a:gs>
                  <a:gs pos="100000">
                    <a:srgbClr val="E993CA"/>
                  </a:gs>
                </a:gsLst>
                <a:lin ang="5400000" scaled="1"/>
              </a:gradFill>
              <a:ln w="19050">
                <a:noFill/>
              </a:ln>
              <a:effectLst/>
            </c:spPr>
            <c:extLst>
              <c:ext xmlns:c16="http://schemas.microsoft.com/office/drawing/2014/chart" uri="{C3380CC4-5D6E-409C-BE32-E72D297353CC}">
                <c16:uniqueId val="{00000001-70B9-4F7A-B79C-69996DD030E4}"/>
              </c:ext>
            </c:extLst>
          </c:dPt>
          <c:dPt>
            <c:idx val="1"/>
            <c:bubble3D val="0"/>
            <c:spPr>
              <a:solidFill>
                <a:srgbClr val="E0E0E0"/>
              </a:solidFill>
              <a:ln w="19050">
                <a:noFill/>
              </a:ln>
              <a:effectLst/>
            </c:spPr>
            <c:extLst>
              <c:ext xmlns:c16="http://schemas.microsoft.com/office/drawing/2014/chart" uri="{C3380CC4-5D6E-409C-BE32-E72D297353CC}">
                <c16:uniqueId val="{00000003-70B9-4F7A-B79C-69996DD030E4}"/>
              </c:ext>
            </c:extLst>
          </c:dPt>
          <c:val>
            <c:numRef>
              <c:f>GENDER!$C$12:$C$13</c:f>
              <c:numCache>
                <c:formatCode>0%</c:formatCode>
                <c:ptCount val="2"/>
                <c:pt idx="0">
                  <c:v>1</c:v>
                </c:pt>
                <c:pt idx="1">
                  <c:v>0</c:v>
                </c:pt>
              </c:numCache>
            </c:numRef>
          </c:val>
          <c:extLst>
            <c:ext xmlns:c16="http://schemas.microsoft.com/office/drawing/2014/chart" uri="{C3380CC4-5D6E-409C-BE32-E72D297353CC}">
              <c16:uniqueId val="{00000004-70B9-4F7A-B79C-69996DD030E4}"/>
            </c:ext>
          </c:extLst>
        </c:ser>
        <c:dLbls>
          <c:showLegendKey val="0"/>
          <c:showVal val="0"/>
          <c:showCatName val="0"/>
          <c:showSerName val="0"/>
          <c:showPercent val="0"/>
          <c:showBubbleSize val="0"/>
          <c:showLeaderLines val="1"/>
        </c:dLbls>
        <c:firstSliceAng val="0"/>
        <c:holeSize val="7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932215450569778E-2"/>
          <c:y val="0.12360917888694327"/>
          <c:w val="0.96251108653119777"/>
          <c:h val="0.85888367496215579"/>
        </c:manualLayout>
      </c:layout>
      <c:doughnutChart>
        <c:varyColors val="1"/>
        <c:ser>
          <c:idx val="0"/>
          <c:order val="0"/>
          <c:dPt>
            <c:idx val="0"/>
            <c:bubble3D val="0"/>
            <c:spPr>
              <a:solidFill>
                <a:srgbClr val="E0E0E0"/>
              </a:solidFill>
              <a:ln w="19050">
                <a:solidFill>
                  <a:schemeClr val="lt1"/>
                </a:solidFill>
              </a:ln>
              <a:effectLst/>
            </c:spPr>
            <c:extLst>
              <c:ext xmlns:c16="http://schemas.microsoft.com/office/drawing/2014/chart" uri="{C3380CC4-5D6E-409C-BE32-E72D297353CC}">
                <c16:uniqueId val="{00000001-A328-49CE-A132-60680A68E09E}"/>
              </c:ext>
            </c:extLst>
          </c:dPt>
          <c:dPt>
            <c:idx val="1"/>
            <c:bubble3D val="0"/>
            <c:spPr>
              <a:gradFill>
                <a:gsLst>
                  <a:gs pos="100000">
                    <a:srgbClr val="8A8DB9"/>
                  </a:gs>
                  <a:gs pos="54133">
                    <a:srgbClr val="A380B6"/>
                  </a:gs>
                  <a:gs pos="73392">
                    <a:srgbClr val="9B7CBD"/>
                  </a:gs>
                  <a:gs pos="22000">
                    <a:schemeClr val="accent1">
                      <a:lumMod val="30000"/>
                      <a:lumOff val="70000"/>
                    </a:schemeClr>
                  </a:gs>
                </a:gsLst>
                <a:lin ang="5400000" scaled="1"/>
              </a:gradFill>
              <a:ln w="19050">
                <a:gradFill>
                  <a:gsLst>
                    <a:gs pos="100000">
                      <a:srgbClr val="8A8DB9"/>
                    </a:gs>
                    <a:gs pos="54133">
                      <a:srgbClr val="A380B6"/>
                    </a:gs>
                    <a:gs pos="66072">
                      <a:srgbClr val="A077BF"/>
                    </a:gs>
                    <a:gs pos="33933">
                      <a:srgbClr val="A88EA5"/>
                    </a:gs>
                    <a:gs pos="10092">
                      <a:srgbClr val="668CD0"/>
                    </a:gs>
                    <a:gs pos="42193">
                      <a:srgbClr val="A688AC"/>
                    </a:gs>
                    <a:gs pos="75233">
                      <a:srgbClr val="9A7DBD"/>
                    </a:gs>
                    <a:gs pos="66000">
                      <a:srgbClr val="527DCA">
                        <a:alpha val="98824"/>
                      </a:srgbClr>
                    </a:gs>
                    <a:gs pos="73392">
                      <a:srgbClr val="9B7CBD"/>
                    </a:gs>
                    <a:gs pos="22000">
                      <a:schemeClr val="accent1">
                        <a:lumMod val="30000"/>
                        <a:lumOff val="70000"/>
                      </a:schemeClr>
                    </a:gs>
                  </a:gsLst>
                  <a:lin ang="5400000" scaled="1"/>
                </a:gradFill>
              </a:ln>
              <a:effectLst/>
            </c:spPr>
            <c:extLst>
              <c:ext xmlns:c16="http://schemas.microsoft.com/office/drawing/2014/chart" uri="{C3380CC4-5D6E-409C-BE32-E72D297353CC}">
                <c16:uniqueId val="{00000003-A328-49CE-A132-60680A68E09E}"/>
              </c:ext>
            </c:extLst>
          </c:dPt>
          <c:val>
            <c:numRef>
              <c:f>GENDER!$C$12:$C$13</c:f>
              <c:numCache>
                <c:formatCode>0%</c:formatCode>
                <c:ptCount val="2"/>
                <c:pt idx="0">
                  <c:v>1</c:v>
                </c:pt>
                <c:pt idx="1">
                  <c:v>0</c:v>
                </c:pt>
              </c:numCache>
            </c:numRef>
          </c:val>
          <c:extLst>
            <c:ext xmlns:c16="http://schemas.microsoft.com/office/drawing/2014/chart" uri="{C3380CC4-5D6E-409C-BE32-E72D297353CC}">
              <c16:uniqueId val="{00000004-A328-49CE-A132-60680A68E09E}"/>
            </c:ext>
          </c:extLst>
        </c:ser>
        <c:dLbls>
          <c:showLegendKey val="0"/>
          <c:showVal val="0"/>
          <c:showCatName val="0"/>
          <c:showSerName val="0"/>
          <c:showPercent val="0"/>
          <c:showBubbleSize val="0"/>
          <c:showLeaderLines val="1"/>
        </c:dLbls>
        <c:firstSliceAng val="0"/>
        <c:holeSize val="7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project.xlsx]education by attrition!PivotTable10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73392">
                <a:srgbClr val="9B7CBD"/>
              </a:gs>
              <a:gs pos="22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2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90273633374948"/>
          <c:y val="9.1861478161511786E-2"/>
          <c:w val="0.69609726366625047"/>
          <c:h val="0.89814814814814814"/>
        </c:manualLayout>
      </c:layout>
      <c:barChart>
        <c:barDir val="bar"/>
        <c:grouping val="clustered"/>
        <c:varyColors val="0"/>
        <c:ser>
          <c:idx val="0"/>
          <c:order val="0"/>
          <c:tx>
            <c:strRef>
              <c:f>'education by attrition'!$B$3</c:f>
              <c:strCache>
                <c:ptCount val="1"/>
                <c:pt idx="0">
                  <c:v>Total</c:v>
                </c:pt>
              </c:strCache>
            </c:strRef>
          </c:tx>
          <c:spPr>
            <a:gradFill>
              <a:gsLst>
                <a:gs pos="73392">
                  <a:srgbClr val="9B7CBD"/>
                </a:gs>
                <a:gs pos="22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2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1</c:v>
                </c:pt>
                <c:pt idx="1">
                  <c:v>5</c:v>
                </c:pt>
                <c:pt idx="2">
                  <c:v>13</c:v>
                </c:pt>
                <c:pt idx="3">
                  <c:v>16</c:v>
                </c:pt>
                <c:pt idx="4">
                  <c:v>24</c:v>
                </c:pt>
              </c:numCache>
            </c:numRef>
          </c:val>
          <c:extLst>
            <c:ext xmlns:c16="http://schemas.microsoft.com/office/drawing/2014/chart" uri="{C3380CC4-5D6E-409C-BE32-E72D297353CC}">
              <c16:uniqueId val="{00000000-67B9-41DD-AC11-334ADEDEDC9B}"/>
            </c:ext>
          </c:extLst>
        </c:ser>
        <c:dLbls>
          <c:dLblPos val="outEnd"/>
          <c:showLegendKey val="0"/>
          <c:showVal val="1"/>
          <c:showCatName val="0"/>
          <c:showSerName val="0"/>
          <c:showPercent val="0"/>
          <c:showBubbleSize val="0"/>
        </c:dLbls>
        <c:gapWidth val="71"/>
        <c:axId val="361324944"/>
        <c:axId val="361333584"/>
      </c:barChart>
      <c:catAx>
        <c:axId val="3613249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1" i="0" u="none" strike="noStrike" kern="1200" baseline="0">
                <a:solidFill>
                  <a:sysClr val="windowText" lastClr="000000"/>
                </a:solidFill>
                <a:latin typeface="+mn-lt"/>
                <a:ea typeface="+mn-ea"/>
                <a:cs typeface="+mn-cs"/>
              </a:defRPr>
            </a:pPr>
            <a:endParaRPr lang="en-US"/>
          </a:p>
        </c:txPr>
        <c:crossAx val="361333584"/>
        <c:crosses val="autoZero"/>
        <c:auto val="1"/>
        <c:lblAlgn val="ctr"/>
        <c:lblOffset val="100"/>
        <c:noMultiLvlLbl val="0"/>
      </c:catAx>
      <c:valAx>
        <c:axId val="361333584"/>
        <c:scaling>
          <c:orientation val="minMax"/>
        </c:scaling>
        <c:delete val="1"/>
        <c:axPos val="b"/>
        <c:numFmt formatCode="General" sourceLinked="1"/>
        <c:majorTickMark val="out"/>
        <c:minorTickMark val="none"/>
        <c:tickLblPos val="nextTo"/>
        <c:crossAx val="36132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project.xlsx]attrition by age grp!PivotTable7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48640">
                <a:srgbClr val="714A86"/>
              </a:gs>
              <a:gs pos="39450">
                <a:srgbClr val="4B3159"/>
              </a:gs>
              <a:gs pos="59621">
                <a:srgbClr val="8A5AA4"/>
              </a:gs>
              <a:gs pos="74000">
                <a:srgbClr val="9B72B2"/>
              </a:gs>
              <a:gs pos="83000">
                <a:srgbClr val="7F72D0"/>
              </a:gs>
              <a:gs pos="90820">
                <a:srgbClr val="9999DB"/>
              </a:gs>
              <a:gs pos="100000">
                <a:srgbClr val="6087CC"/>
              </a:gs>
            </a:gsLst>
            <a:lin ang="5400000" scaled="1"/>
          </a:gradFill>
          <a:ln>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48640">
                <a:srgbClr val="714A86"/>
              </a:gs>
              <a:gs pos="39450">
                <a:srgbClr val="4B3159"/>
              </a:gs>
              <a:gs pos="59621">
                <a:srgbClr val="8A5AA4"/>
              </a:gs>
              <a:gs pos="74000">
                <a:srgbClr val="9B72B2"/>
              </a:gs>
              <a:gs pos="83000">
                <a:srgbClr val="7F72D0"/>
              </a:gs>
              <a:gs pos="90820">
                <a:srgbClr val="9999DB"/>
              </a:gs>
              <a:gs pos="100000">
                <a:srgbClr val="6087CC"/>
              </a:gs>
            </a:gsLst>
            <a:lin ang="5400000" scaled="1"/>
          </a:gradFill>
          <a:ln>
            <a:solidFill>
              <a:schemeClr val="tx1">
                <a:lumMod val="75000"/>
                <a:lumOff val="25000"/>
              </a:schemeClr>
            </a:solidFill>
          </a:ln>
          <a:effectLst/>
        </c:spPr>
      </c:pivotFmt>
      <c:pivotFmt>
        <c:idx val="4"/>
        <c:spPr>
          <a:gradFill>
            <a:gsLst>
              <a:gs pos="48640">
                <a:srgbClr val="714A86"/>
              </a:gs>
              <a:gs pos="39450">
                <a:srgbClr val="4B3159"/>
              </a:gs>
              <a:gs pos="59621">
                <a:srgbClr val="8A5AA4"/>
              </a:gs>
              <a:gs pos="74000">
                <a:srgbClr val="9B72B2"/>
              </a:gs>
              <a:gs pos="83000">
                <a:srgbClr val="7F72D0"/>
              </a:gs>
              <a:gs pos="90820">
                <a:srgbClr val="9999DB"/>
              </a:gs>
              <a:gs pos="100000">
                <a:srgbClr val="6087CC"/>
              </a:gs>
            </a:gsLst>
            <a:lin ang="5400000" scaled="1"/>
          </a:gradFill>
          <a:ln>
            <a:solidFill>
              <a:schemeClr val="tx1">
                <a:lumMod val="75000"/>
                <a:lumOff val="25000"/>
              </a:schemeClr>
            </a:solidFill>
          </a:ln>
          <a:effectLst/>
        </c:spPr>
      </c:pivotFmt>
      <c:pivotFmt>
        <c:idx val="5"/>
        <c:spPr>
          <a:gradFill>
            <a:gsLst>
              <a:gs pos="48640">
                <a:srgbClr val="714A86"/>
              </a:gs>
              <a:gs pos="39450">
                <a:srgbClr val="4B3159"/>
              </a:gs>
              <a:gs pos="59621">
                <a:srgbClr val="8A5AA4"/>
              </a:gs>
              <a:gs pos="74000">
                <a:srgbClr val="9B72B2"/>
              </a:gs>
              <a:gs pos="83000">
                <a:srgbClr val="7F72D0"/>
              </a:gs>
              <a:gs pos="90820">
                <a:srgbClr val="9999DB"/>
              </a:gs>
              <a:gs pos="100000">
                <a:srgbClr val="6087CC"/>
              </a:gs>
            </a:gsLst>
            <a:lin ang="5400000" scaled="1"/>
          </a:gradFill>
          <a:ln>
            <a:solidFill>
              <a:schemeClr val="tx1">
                <a:lumMod val="75000"/>
                <a:lumOff val="25000"/>
              </a:schemeClr>
            </a:solidFill>
          </a:ln>
          <a:effectLst/>
        </c:spPr>
      </c:pivotFmt>
      <c:pivotFmt>
        <c:idx val="6"/>
        <c:spPr>
          <a:gradFill>
            <a:gsLst>
              <a:gs pos="48640">
                <a:srgbClr val="714A86"/>
              </a:gs>
              <a:gs pos="39450">
                <a:srgbClr val="4B3159"/>
              </a:gs>
              <a:gs pos="59621">
                <a:srgbClr val="8A5AA4"/>
              </a:gs>
              <a:gs pos="74000">
                <a:srgbClr val="9B72B2"/>
              </a:gs>
              <a:gs pos="83000">
                <a:srgbClr val="7F72D0"/>
              </a:gs>
              <a:gs pos="90820">
                <a:srgbClr val="9999DB"/>
              </a:gs>
              <a:gs pos="100000">
                <a:srgbClr val="6087CC"/>
              </a:gs>
            </a:gsLst>
            <a:lin ang="5400000" scaled="1"/>
          </a:gradFill>
          <a:ln>
            <a:solidFill>
              <a:schemeClr val="tx1">
                <a:lumMod val="75000"/>
                <a:lumOff val="25000"/>
              </a:schemeClr>
            </a:solidFill>
          </a:ln>
          <a:effectLst/>
        </c:spPr>
      </c:pivotFmt>
      <c:pivotFmt>
        <c:idx val="7"/>
        <c:spPr>
          <a:gradFill>
            <a:gsLst>
              <a:gs pos="48640">
                <a:srgbClr val="714A86"/>
              </a:gs>
              <a:gs pos="39450">
                <a:srgbClr val="4B3159"/>
              </a:gs>
              <a:gs pos="59621">
                <a:srgbClr val="8A5AA4"/>
              </a:gs>
              <a:gs pos="74000">
                <a:srgbClr val="9B72B2"/>
              </a:gs>
              <a:gs pos="83000">
                <a:srgbClr val="7F72D0"/>
              </a:gs>
              <a:gs pos="90820">
                <a:srgbClr val="9999DB"/>
              </a:gs>
              <a:gs pos="100000">
                <a:srgbClr val="6087CC"/>
              </a:gs>
            </a:gsLst>
            <a:lin ang="5400000" scaled="1"/>
          </a:gradFill>
          <a:ln>
            <a:solidFill>
              <a:schemeClr val="tx1">
                <a:lumMod val="75000"/>
                <a:lumOff val="25000"/>
              </a:schemeClr>
            </a:solidFill>
          </a:ln>
          <a:effectLst/>
        </c:spPr>
      </c:pivotFmt>
    </c:pivotFmts>
    <c:plotArea>
      <c:layout>
        <c:manualLayout>
          <c:layoutTarget val="inner"/>
          <c:xMode val="edge"/>
          <c:yMode val="edge"/>
          <c:x val="7.529117788847825E-2"/>
          <c:y val="0.1505029668505706"/>
          <c:w val="0.92254186083882372"/>
          <c:h val="0.70109681984627659"/>
        </c:manualLayout>
      </c:layout>
      <c:barChart>
        <c:barDir val="col"/>
        <c:grouping val="clustered"/>
        <c:varyColors val="1"/>
        <c:ser>
          <c:idx val="0"/>
          <c:order val="0"/>
          <c:tx>
            <c:strRef>
              <c:f>'attrition by age grp'!$B$3</c:f>
              <c:strCache>
                <c:ptCount val="1"/>
                <c:pt idx="0">
                  <c:v>Total</c:v>
                </c:pt>
              </c:strCache>
            </c:strRef>
          </c:tx>
          <c:spPr>
            <a:gradFill>
              <a:gsLst>
                <a:gs pos="48640">
                  <a:srgbClr val="714A86"/>
                </a:gs>
                <a:gs pos="39450">
                  <a:srgbClr val="4B3159"/>
                </a:gs>
                <a:gs pos="59621">
                  <a:srgbClr val="8A5AA4"/>
                </a:gs>
                <a:gs pos="74000">
                  <a:srgbClr val="9B72B2"/>
                </a:gs>
                <a:gs pos="83000">
                  <a:srgbClr val="7F72D0"/>
                </a:gs>
                <a:gs pos="90820">
                  <a:srgbClr val="9999DB"/>
                </a:gs>
                <a:gs pos="100000">
                  <a:srgbClr val="6087CC"/>
                </a:gs>
              </a:gsLst>
              <a:lin ang="5400000" scaled="1"/>
            </a:gradFill>
            <a:ln>
              <a:solidFill>
                <a:schemeClr val="tx1">
                  <a:lumMod val="75000"/>
                  <a:lumOff val="25000"/>
                </a:schemeClr>
              </a:solidFill>
            </a:ln>
          </c:spPr>
          <c:invertIfNegative val="0"/>
          <c:dPt>
            <c:idx val="0"/>
            <c:invertIfNegative val="0"/>
            <c:bubble3D val="0"/>
            <c:spPr>
              <a:gradFill>
                <a:gsLst>
                  <a:gs pos="48640">
                    <a:srgbClr val="714A86"/>
                  </a:gs>
                  <a:gs pos="39450">
                    <a:srgbClr val="4B3159"/>
                  </a:gs>
                  <a:gs pos="59621">
                    <a:srgbClr val="8A5AA4"/>
                  </a:gs>
                  <a:gs pos="74000">
                    <a:srgbClr val="9B72B2"/>
                  </a:gs>
                  <a:gs pos="83000">
                    <a:srgbClr val="7F72D0"/>
                  </a:gs>
                  <a:gs pos="90820">
                    <a:srgbClr val="9999DB"/>
                  </a:gs>
                  <a:gs pos="100000">
                    <a:srgbClr val="6087CC"/>
                  </a:gs>
                </a:gsLst>
                <a:lin ang="5400000" scaled="1"/>
              </a:gradFill>
              <a:ln>
                <a:solidFill>
                  <a:schemeClr val="tx1">
                    <a:lumMod val="75000"/>
                    <a:lumOff val="25000"/>
                  </a:schemeClr>
                </a:solidFill>
              </a:ln>
              <a:effectLst/>
            </c:spPr>
            <c:extLst>
              <c:ext xmlns:c16="http://schemas.microsoft.com/office/drawing/2014/chart" uri="{C3380CC4-5D6E-409C-BE32-E72D297353CC}">
                <c16:uniqueId val="{00000002-87CF-4C6E-B1FF-660556DD3685}"/>
              </c:ext>
            </c:extLst>
          </c:dPt>
          <c:dPt>
            <c:idx val="1"/>
            <c:invertIfNegative val="0"/>
            <c:bubble3D val="0"/>
            <c:spPr>
              <a:gradFill>
                <a:gsLst>
                  <a:gs pos="48640">
                    <a:srgbClr val="714A86"/>
                  </a:gs>
                  <a:gs pos="39450">
                    <a:srgbClr val="4B3159"/>
                  </a:gs>
                  <a:gs pos="59621">
                    <a:srgbClr val="8A5AA4"/>
                  </a:gs>
                  <a:gs pos="74000">
                    <a:srgbClr val="9B72B2"/>
                  </a:gs>
                  <a:gs pos="83000">
                    <a:srgbClr val="7F72D0"/>
                  </a:gs>
                  <a:gs pos="90820">
                    <a:srgbClr val="9999DB"/>
                  </a:gs>
                  <a:gs pos="100000">
                    <a:srgbClr val="6087CC"/>
                  </a:gs>
                </a:gsLst>
                <a:lin ang="5400000" scaled="1"/>
              </a:gradFill>
              <a:ln>
                <a:solidFill>
                  <a:schemeClr val="tx1">
                    <a:lumMod val="75000"/>
                    <a:lumOff val="25000"/>
                  </a:schemeClr>
                </a:solidFill>
              </a:ln>
              <a:effectLst/>
            </c:spPr>
            <c:extLst>
              <c:ext xmlns:c16="http://schemas.microsoft.com/office/drawing/2014/chart" uri="{C3380CC4-5D6E-409C-BE32-E72D297353CC}">
                <c16:uniqueId val="{00000003-8753-47C7-B59F-05796BB2250A}"/>
              </c:ext>
            </c:extLst>
          </c:dPt>
          <c:dPt>
            <c:idx val="2"/>
            <c:invertIfNegative val="0"/>
            <c:bubble3D val="0"/>
            <c:spPr>
              <a:gradFill>
                <a:gsLst>
                  <a:gs pos="48640">
                    <a:srgbClr val="714A86"/>
                  </a:gs>
                  <a:gs pos="39450">
                    <a:srgbClr val="4B3159"/>
                  </a:gs>
                  <a:gs pos="59621">
                    <a:srgbClr val="8A5AA4"/>
                  </a:gs>
                  <a:gs pos="74000">
                    <a:srgbClr val="9B72B2"/>
                  </a:gs>
                  <a:gs pos="83000">
                    <a:srgbClr val="7F72D0"/>
                  </a:gs>
                  <a:gs pos="90820">
                    <a:srgbClr val="9999DB"/>
                  </a:gs>
                  <a:gs pos="100000">
                    <a:srgbClr val="6087CC"/>
                  </a:gs>
                </a:gsLst>
                <a:lin ang="5400000" scaled="1"/>
              </a:gradFill>
              <a:ln>
                <a:solidFill>
                  <a:schemeClr val="tx1">
                    <a:lumMod val="75000"/>
                    <a:lumOff val="25000"/>
                  </a:schemeClr>
                </a:solidFill>
              </a:ln>
              <a:effectLst/>
            </c:spPr>
            <c:extLst>
              <c:ext xmlns:c16="http://schemas.microsoft.com/office/drawing/2014/chart" uri="{C3380CC4-5D6E-409C-BE32-E72D297353CC}">
                <c16:uniqueId val="{00000001-87CF-4C6E-B1FF-660556DD3685}"/>
              </c:ext>
            </c:extLst>
          </c:dPt>
          <c:dPt>
            <c:idx val="3"/>
            <c:invertIfNegative val="0"/>
            <c:bubble3D val="0"/>
            <c:spPr>
              <a:gradFill>
                <a:gsLst>
                  <a:gs pos="48640">
                    <a:srgbClr val="714A86"/>
                  </a:gs>
                  <a:gs pos="39450">
                    <a:srgbClr val="4B3159"/>
                  </a:gs>
                  <a:gs pos="59621">
                    <a:srgbClr val="8A5AA4"/>
                  </a:gs>
                  <a:gs pos="74000">
                    <a:srgbClr val="9B72B2"/>
                  </a:gs>
                  <a:gs pos="83000">
                    <a:srgbClr val="7F72D0"/>
                  </a:gs>
                  <a:gs pos="90820">
                    <a:srgbClr val="9999DB"/>
                  </a:gs>
                  <a:gs pos="100000">
                    <a:srgbClr val="6087CC"/>
                  </a:gs>
                </a:gsLst>
                <a:lin ang="5400000" scaled="1"/>
              </a:gradFill>
              <a:ln>
                <a:solidFill>
                  <a:schemeClr val="tx1">
                    <a:lumMod val="75000"/>
                    <a:lumOff val="25000"/>
                  </a:schemeClr>
                </a:solidFill>
              </a:ln>
              <a:effectLst/>
            </c:spPr>
            <c:extLst>
              <c:ext xmlns:c16="http://schemas.microsoft.com/office/drawing/2014/chart" uri="{C3380CC4-5D6E-409C-BE32-E72D297353CC}">
                <c16:uniqueId val="{00000007-8753-47C7-B59F-05796BB2250A}"/>
              </c:ext>
            </c:extLst>
          </c:dPt>
          <c:dPt>
            <c:idx val="4"/>
            <c:invertIfNegative val="0"/>
            <c:bubble3D val="0"/>
            <c:spPr>
              <a:gradFill>
                <a:gsLst>
                  <a:gs pos="48640">
                    <a:srgbClr val="714A86"/>
                  </a:gs>
                  <a:gs pos="39450">
                    <a:srgbClr val="4B3159"/>
                  </a:gs>
                  <a:gs pos="59621">
                    <a:srgbClr val="8A5AA4"/>
                  </a:gs>
                  <a:gs pos="74000">
                    <a:srgbClr val="9B72B2"/>
                  </a:gs>
                  <a:gs pos="83000">
                    <a:srgbClr val="7F72D0"/>
                  </a:gs>
                  <a:gs pos="90820">
                    <a:srgbClr val="9999DB"/>
                  </a:gs>
                  <a:gs pos="100000">
                    <a:srgbClr val="6087CC"/>
                  </a:gs>
                </a:gsLst>
                <a:lin ang="5400000" scaled="1"/>
              </a:gradFill>
              <a:ln>
                <a:solidFill>
                  <a:schemeClr val="tx1">
                    <a:lumMod val="75000"/>
                    <a:lumOff val="25000"/>
                  </a:schemeClr>
                </a:solidFill>
              </a:ln>
              <a:effectLst/>
            </c:spPr>
            <c:extLst>
              <c:ext xmlns:c16="http://schemas.microsoft.com/office/drawing/2014/chart" uri="{C3380CC4-5D6E-409C-BE32-E72D297353CC}">
                <c16:uniqueId val="{00000009-8753-47C7-B59F-05796BB2250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grp'!$A$4:$A$9</c:f>
              <c:strCache>
                <c:ptCount val="5"/>
                <c:pt idx="0">
                  <c:v>25 - 34</c:v>
                </c:pt>
                <c:pt idx="1">
                  <c:v>35 - 44</c:v>
                </c:pt>
                <c:pt idx="2">
                  <c:v>Under 25</c:v>
                </c:pt>
                <c:pt idx="3">
                  <c:v>45 - 54</c:v>
                </c:pt>
                <c:pt idx="4">
                  <c:v>Over 55</c:v>
                </c:pt>
              </c:strCache>
            </c:strRef>
          </c:cat>
          <c:val>
            <c:numRef>
              <c:f>'attrition by age grp'!$B$4:$B$9</c:f>
              <c:numCache>
                <c:formatCode>General</c:formatCode>
                <c:ptCount val="5"/>
                <c:pt idx="0">
                  <c:v>26</c:v>
                </c:pt>
                <c:pt idx="1">
                  <c:v>13</c:v>
                </c:pt>
                <c:pt idx="2">
                  <c:v>11</c:v>
                </c:pt>
                <c:pt idx="3">
                  <c:v>5</c:v>
                </c:pt>
                <c:pt idx="4">
                  <c:v>4</c:v>
                </c:pt>
              </c:numCache>
            </c:numRef>
          </c:val>
          <c:extLst>
            <c:ext xmlns:c16="http://schemas.microsoft.com/office/drawing/2014/chart" uri="{C3380CC4-5D6E-409C-BE32-E72D297353CC}">
              <c16:uniqueId val="{00000000-87CF-4C6E-B1FF-660556DD3685}"/>
            </c:ext>
          </c:extLst>
        </c:ser>
        <c:dLbls>
          <c:dLblPos val="outEnd"/>
          <c:showLegendKey val="0"/>
          <c:showVal val="1"/>
          <c:showCatName val="0"/>
          <c:showSerName val="0"/>
          <c:showPercent val="0"/>
          <c:showBubbleSize val="0"/>
        </c:dLbls>
        <c:gapWidth val="218"/>
        <c:overlap val="-27"/>
        <c:axId val="2050807440"/>
        <c:axId val="2050796400"/>
      </c:barChart>
      <c:catAx>
        <c:axId val="2050807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20" b="1" i="0" u="none" strike="noStrike" kern="1200" baseline="0">
                <a:solidFill>
                  <a:sysClr val="windowText" lastClr="000000"/>
                </a:solidFill>
                <a:latin typeface="+mn-lt"/>
                <a:ea typeface="+mn-ea"/>
                <a:cs typeface="+mn-cs"/>
              </a:defRPr>
            </a:pPr>
            <a:endParaRPr lang="en-US"/>
          </a:p>
        </c:txPr>
        <c:crossAx val="2050796400"/>
        <c:crosses val="autoZero"/>
        <c:auto val="1"/>
        <c:lblAlgn val="ctr"/>
        <c:lblOffset val="100"/>
        <c:noMultiLvlLbl val="0"/>
      </c:catAx>
      <c:valAx>
        <c:axId val="2050796400"/>
        <c:scaling>
          <c:orientation val="minMax"/>
        </c:scaling>
        <c:delete val="1"/>
        <c:axPos val="l"/>
        <c:numFmt formatCode="General" sourceLinked="1"/>
        <c:majorTickMark val="out"/>
        <c:minorTickMark val="none"/>
        <c:tickLblPos val="nextTo"/>
        <c:crossAx val="205080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project.xlsx]Departmentwise attirition!PivotTable6</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510" b="0" i="0" u="none" strike="noStrike" kern="1200" baseline="0">
                    <a:solidFill>
                      <a:schemeClr val="tx1">
                        <a:lumMod val="75000"/>
                        <a:lumOff val="25000"/>
                      </a:schemeClr>
                    </a:solidFill>
                    <a:latin typeface="+mn-lt"/>
                    <a:ea typeface="+mn-ea"/>
                    <a:cs typeface="+mn-cs"/>
                  </a:defRPr>
                </a:pPr>
                <a:fld id="{ECDF5426-D99B-41F6-A9A7-8D5EE1ABF71A}" type="VALUE">
                  <a:rPr lang="en-US" sz="1510" baseline="0">
                    <a:solidFill>
                      <a:schemeClr val="tx2"/>
                    </a:solidFill>
                  </a:rPr>
                  <a:pPr>
                    <a:defRPr sz="151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51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8293969718473455"/>
          <c:y val="5.5979861355074087E-2"/>
          <c:w val="0.5050576268088115"/>
          <c:h val="0.87684430501883703"/>
        </c:manualLayout>
      </c:layout>
      <c:pieChart>
        <c:varyColors val="1"/>
        <c:ser>
          <c:idx val="0"/>
          <c:order val="0"/>
          <c:tx>
            <c:strRef>
              <c:f>'Departmentwise attirition'!$B$3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8B-4C12-8BB7-97B088C8F5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C1-4EB1-AC1D-5DEA86A3C0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C1-4EB1-AC1D-5DEA86A3C0C7}"/>
              </c:ext>
            </c:extLst>
          </c:dPt>
          <c:dLbls>
            <c:dLbl>
              <c:idx val="0"/>
              <c:tx>
                <c:rich>
                  <a:bodyPr rot="0" spcFirstLastPara="1" vertOverflow="ellipsis" vert="horz" wrap="square" lIns="38100" tIns="19050" rIns="38100" bIns="19050" anchor="ctr" anchorCtr="1">
                    <a:spAutoFit/>
                  </a:bodyPr>
                  <a:lstStyle/>
                  <a:p>
                    <a:pPr>
                      <a:defRPr sz="1510" b="0" i="0" u="none" strike="noStrike" kern="1200" baseline="0">
                        <a:solidFill>
                          <a:schemeClr val="tx1">
                            <a:lumMod val="75000"/>
                            <a:lumOff val="25000"/>
                          </a:schemeClr>
                        </a:solidFill>
                        <a:latin typeface="+mn-lt"/>
                        <a:ea typeface="+mn-ea"/>
                        <a:cs typeface="+mn-cs"/>
                      </a:defRPr>
                    </a:pPr>
                    <a:fld id="{ECDF5426-D99B-41F6-A9A7-8D5EE1ABF71A}" type="VALUE">
                      <a:rPr lang="en-US" sz="1510" baseline="0">
                        <a:solidFill>
                          <a:schemeClr val="tx2"/>
                        </a:solidFill>
                      </a:rPr>
                      <a:pPr>
                        <a:defRPr sz="151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51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C8B-4C12-8BB7-97B088C8F58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'Departmentwise attirition'!$A$4:$A$5</c:f>
              <c:strCache>
                <c:ptCount val="1"/>
                <c:pt idx="0">
                  <c:v>R&amp;D</c:v>
                </c:pt>
              </c:strCache>
            </c:strRef>
          </c:cat>
          <c:val>
            <c:numRef>
              <c:f>'Departmentwise attirition'!$B$4:$B$5</c:f>
              <c:numCache>
                <c:formatCode>0.00%</c:formatCode>
                <c:ptCount val="1"/>
                <c:pt idx="0">
                  <c:v>1</c:v>
                </c:pt>
              </c:numCache>
            </c:numRef>
          </c:val>
          <c:extLst>
            <c:ext xmlns:c16="http://schemas.microsoft.com/office/drawing/2014/chart" uri="{C3380CC4-5D6E-409C-BE32-E72D297353CC}">
              <c16:uniqueId val="{00000002-AC8B-4C12-8BB7-97B088C8F58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74E32BCC-F790-40B8-9B1C-038AFDC0D146}">
          <cx:tx>
            <cx:txData>
              <cx:f>_xlchart.v1.1</cx:f>
              <cx:v>Attirition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EA8A87C-A853-4F15-890F-CFD71F938C60}">
          <cx:tx>
            <cx:txData>
              <cx:f>_xlchart.v2.4</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74E32BCC-F790-40B8-9B1C-038AFDC0D146}">
          <cx:tx>
            <cx:txData>
              <cx:f>_xlchart.v1.7</cx:f>
              <cx:v>Attirition</cx:v>
            </cx:txData>
          </cx:tx>
          <cx:spPr>
            <a:ln>
              <a:noFill/>
            </a:ln>
          </cx:spPr>
          <cx:dataLabels pos="inEnd">
            <cx:spPr>
              <a:noFill/>
              <a:ln>
                <a:noFill/>
              </a:ln>
            </cx:spPr>
            <cx:txPr>
              <a:bodyPr spcFirstLastPara="1" vertOverflow="ellipsis" horzOverflow="overflow" wrap="square" lIns="0" tIns="0" rIns="0" bIns="0" anchor="ctr" anchorCtr="1"/>
              <a:lstStyle/>
              <a:p>
                <a:pPr algn="ctr" rtl="0">
                  <a:defRPr sz="1500" b="1" i="1" baseline="0">
                    <a:solidFill>
                      <a:schemeClr val="tx1"/>
                    </a:solidFill>
                  </a:defRPr>
                </a:pPr>
                <a:endParaRPr lang="en-US" sz="1500" b="1" i="1" u="none" strike="noStrike" baseline="0">
                  <a:solidFill>
                    <a:schemeClr val="tx1"/>
                  </a:solidFill>
                  <a:latin typeface="Calibri"/>
                  <a:cs typeface="Calibri"/>
                </a:endParaRPr>
              </a:p>
            </cx:txPr>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DEA8A87C-A853-4F15-890F-CFD71F938C60}">
          <cx:tx>
            <cx:txData>
              <cx:f>_xlchart.v2.10</cx:f>
              <cx:v>Attrition</cx:v>
            </cx:txData>
          </cx:tx>
          <cx:spPr>
            <a:solidFill>
              <a:srgbClr val="964866"/>
            </a:solidFill>
            <a:ln>
              <a:solidFill>
                <a:schemeClr val="tx1"/>
              </a:solidFill>
            </a:ln>
          </cx:spPr>
          <cx:dataLabels>
            <cx:spPr>
              <a:noFill/>
              <a:ln>
                <a:noFill/>
              </a:ln>
            </cx:spPr>
            <cx:txPr>
              <a:bodyPr spcFirstLastPara="1" vertOverflow="ellipsis" horzOverflow="overflow" wrap="square" lIns="0" tIns="0" rIns="0" bIns="0" anchor="ctr" anchorCtr="1"/>
              <a:lstStyle/>
              <a:p>
                <a:pPr algn="ctr" rtl="0">
                  <a:defRPr sz="2010" b="1" i="0" baseline="0">
                    <a:solidFill>
                      <a:sysClr val="windowText" lastClr="000000"/>
                    </a:solidFill>
                  </a:defRPr>
                </a:pPr>
                <a:endParaRPr lang="en-US" sz="2010" b="1" i="0" u="none" strike="noStrike" baseline="0">
                  <a:solidFill>
                    <a:sysClr val="windowText" lastClr="000000"/>
                  </a:solidFill>
                  <a:latin typeface="Calibri"/>
                  <a:cs typeface="Calibri"/>
                </a:endParaRPr>
              </a:p>
            </cx:txPr>
            <cx:visibility seriesName="0" categoryName="0" value="1"/>
          </cx:dataLabels>
          <cx:dataId val="0"/>
        </cx:series>
      </cx:plotAreaRegion>
      <cx:axis id="0">
        <cx:catScaling gapWidth="0.449999988"/>
        <cx:tickLabels/>
        <cx:txPr>
          <a:bodyPr spcFirstLastPara="1" vertOverflow="ellipsis" horzOverflow="overflow" wrap="square" lIns="0" tIns="0" rIns="0" bIns="0" anchor="ctr" anchorCtr="1"/>
          <a:lstStyle/>
          <a:p>
            <a:pPr algn="ctr" rtl="0">
              <a:defRPr sz="2010" b="1" i="0" baseline="0">
                <a:solidFill>
                  <a:sysClr val="windowText" lastClr="000000"/>
                </a:solidFill>
              </a:defRPr>
            </a:pPr>
            <a:endParaRPr lang="en-US" sz="2010" b="1" i="0" u="none" strike="noStrike" baseline="0">
              <a:solidFill>
                <a:sysClr val="windowText" lastClr="000000"/>
              </a:solidFill>
              <a:latin typeface="Calibri"/>
              <a:cs typeface="Calibri"/>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18" Type="http://schemas.microsoft.com/office/2014/relationships/chartEx" Target="../charts/chartEx3.xml"/><Relationship Id="rId3" Type="http://schemas.openxmlformats.org/officeDocument/2006/relationships/image" Target="../media/image3.png"/><Relationship Id="rId21" Type="http://schemas.microsoft.com/office/2014/relationships/chartEx" Target="../charts/chartEx4.xml"/><Relationship Id="rId7" Type="http://schemas.microsoft.com/office/2007/relationships/hdphoto" Target="../media/hdphoto1.wdp"/><Relationship Id="rId12" Type="http://schemas.openxmlformats.org/officeDocument/2006/relationships/chart" Target="../charts/chart10.xml"/><Relationship Id="rId17" Type="http://schemas.openxmlformats.org/officeDocument/2006/relationships/chart" Target="../charts/chart11.xml"/><Relationship Id="rId2" Type="http://schemas.openxmlformats.org/officeDocument/2006/relationships/image" Target="../media/image2.png"/><Relationship Id="rId16" Type="http://schemas.openxmlformats.org/officeDocument/2006/relationships/image" Target="../media/image12.svg"/><Relationship Id="rId20" Type="http://schemas.openxmlformats.org/officeDocument/2006/relationships/image" Target="../media/image13.emf"/><Relationship Id="rId1" Type="http://schemas.openxmlformats.org/officeDocument/2006/relationships/image" Target="../media/image1.png"/><Relationship Id="rId6" Type="http://schemas.openxmlformats.org/officeDocument/2006/relationships/image" Target="../media/image8.png"/><Relationship Id="rId11" Type="http://schemas.openxmlformats.org/officeDocument/2006/relationships/chart" Target="../charts/chart9.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chart" Target="../charts/chart8.xml"/><Relationship Id="rId19"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10.svg"/><Relationship Id="rId22"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9</xdr:col>
      <xdr:colOff>561975</xdr:colOff>
      <xdr:row>5</xdr:row>
      <xdr:rowOff>190502</xdr:rowOff>
    </xdr:from>
    <xdr:to>
      <xdr:col>10</xdr:col>
      <xdr:colOff>614361</xdr:colOff>
      <xdr:row>10</xdr:row>
      <xdr:rowOff>152401</xdr:rowOff>
    </xdr:to>
    <xdr:graphicFrame macro="">
      <xdr:nvGraphicFramePr>
        <xdr:cNvPr id="5" name="Chart 4">
          <a:extLst>
            <a:ext uri="{FF2B5EF4-FFF2-40B4-BE49-F238E27FC236}">
              <a16:creationId xmlns:a16="http://schemas.microsoft.com/office/drawing/2014/main" id="{AA370E4E-CA57-D082-6295-D854B8900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19050</xdr:colOff>
      <xdr:row>1</xdr:row>
      <xdr:rowOff>38101</xdr:rowOff>
    </xdr:from>
    <xdr:to>
      <xdr:col>6</xdr:col>
      <xdr:colOff>476250</xdr:colOff>
      <xdr:row>5</xdr:row>
      <xdr:rowOff>1</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1B3A31F7-45B5-604D-9253-7AC91DBFE04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38575" y="238126"/>
              <a:ext cx="182880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523874</xdr:colOff>
      <xdr:row>12</xdr:row>
      <xdr:rowOff>57150</xdr:rowOff>
    </xdr:from>
    <xdr:to>
      <xdr:col>9</xdr:col>
      <xdr:colOff>228599</xdr:colOff>
      <xdr:row>16</xdr:row>
      <xdr:rowOff>85725</xdr:rowOff>
    </xdr:to>
    <xdr:graphicFrame macro="">
      <xdr:nvGraphicFramePr>
        <xdr:cNvPr id="7" name="Chart 6">
          <a:extLst>
            <a:ext uri="{FF2B5EF4-FFF2-40B4-BE49-F238E27FC236}">
              <a16:creationId xmlns:a16="http://schemas.microsoft.com/office/drawing/2014/main" id="{DFD9F617-EAB4-B6FB-D2A4-C974ED77F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85725</xdr:colOff>
      <xdr:row>17</xdr:row>
      <xdr:rowOff>28574</xdr:rowOff>
    </xdr:from>
    <xdr:to>
      <xdr:col>6</xdr:col>
      <xdr:colOff>542925</xdr:colOff>
      <xdr:row>22</xdr:row>
      <xdr:rowOff>200024</xdr:rowOff>
    </xdr:to>
    <mc:AlternateContent xmlns:mc="http://schemas.openxmlformats.org/markup-compatibility/2006" xmlns:a14="http://schemas.microsoft.com/office/drawing/2010/main">
      <mc:Choice Requires="a14">
        <xdr:graphicFrame macro="">
          <xdr:nvGraphicFramePr>
            <xdr:cNvPr id="8" name="Education Field">
              <a:extLst>
                <a:ext uri="{FF2B5EF4-FFF2-40B4-BE49-F238E27FC236}">
                  <a16:creationId xmlns:a16="http://schemas.microsoft.com/office/drawing/2014/main" id="{EAD5F26D-8025-38E2-7A27-1B7EBBA881D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3905250" y="3428999"/>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552450</xdr:colOff>
      <xdr:row>6</xdr:row>
      <xdr:rowOff>142875</xdr:rowOff>
    </xdr:from>
    <xdr:to>
      <xdr:col>6</xdr:col>
      <xdr:colOff>323850</xdr:colOff>
      <xdr:row>12</xdr:row>
      <xdr:rowOff>0</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38E2CC0E-A8D6-7A71-59F3-0925F201AFD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819525" y="1343025"/>
              <a:ext cx="1828800" cy="1057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200025</xdr:colOff>
      <xdr:row>5</xdr:row>
      <xdr:rowOff>28576</xdr:rowOff>
    </xdr:from>
    <xdr:to>
      <xdr:col>9</xdr:col>
      <xdr:colOff>657225</xdr:colOff>
      <xdr:row>10</xdr:row>
      <xdr:rowOff>190501</xdr:rowOff>
    </xdr:to>
    <mc:AlternateContent xmlns:mc="http://schemas.openxmlformats.org/markup-compatibility/2006" xmlns:a14="http://schemas.microsoft.com/office/drawing/2010/main">
      <mc:Choice Requires="a14">
        <xdr:graphicFrame macro="">
          <xdr:nvGraphicFramePr>
            <xdr:cNvPr id="3" name="Education Field 1">
              <a:extLst>
                <a:ext uri="{FF2B5EF4-FFF2-40B4-BE49-F238E27FC236}">
                  <a16:creationId xmlns:a16="http://schemas.microsoft.com/office/drawing/2014/main" id="{01B11653-141F-9B9B-7955-BFEE39EDD37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6210300" y="1028701"/>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123824</xdr:colOff>
      <xdr:row>3</xdr:row>
      <xdr:rowOff>114300</xdr:rowOff>
    </xdr:from>
    <xdr:to>
      <xdr:col>12</xdr:col>
      <xdr:colOff>247650</xdr:colOff>
      <xdr:row>11</xdr:row>
      <xdr:rowOff>152400</xdr:rowOff>
    </xdr:to>
    <xdr:graphicFrame macro="">
      <xdr:nvGraphicFramePr>
        <xdr:cNvPr id="4" name="Chart 3">
          <a:extLst>
            <a:ext uri="{FF2B5EF4-FFF2-40B4-BE49-F238E27FC236}">
              <a16:creationId xmlns:a16="http://schemas.microsoft.com/office/drawing/2014/main" id="{EC1196AA-1137-7A9F-8AA4-925B8E56E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133349</xdr:colOff>
      <xdr:row>4</xdr:row>
      <xdr:rowOff>142875</xdr:rowOff>
    </xdr:from>
    <xdr:to>
      <xdr:col>7</xdr:col>
      <xdr:colOff>566736</xdr:colOff>
      <xdr:row>17</xdr:row>
      <xdr:rowOff>57150</xdr:rowOff>
    </xdr:to>
    <xdr:graphicFrame macro="">
      <xdr:nvGraphicFramePr>
        <xdr:cNvPr id="2" name="Chart 1">
          <a:extLst>
            <a:ext uri="{FF2B5EF4-FFF2-40B4-BE49-F238E27FC236}">
              <a16:creationId xmlns:a16="http://schemas.microsoft.com/office/drawing/2014/main" id="{0E4FA25B-E04A-FB9D-8811-FF8948D95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4762</xdr:colOff>
      <xdr:row>12</xdr:row>
      <xdr:rowOff>161926</xdr:rowOff>
    </xdr:from>
    <xdr:to>
      <xdr:col>6</xdr:col>
      <xdr:colOff>409576</xdr:colOff>
      <xdr:row>25</xdr:row>
      <xdr:rowOff>114301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30AD95D-DCF4-46EB-5F14-B85633619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05187" y="2562226"/>
              <a:ext cx="4329114" cy="2552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1385887</xdr:colOff>
      <xdr:row>3</xdr:row>
      <xdr:rowOff>114300</xdr:rowOff>
    </xdr:from>
    <xdr:to>
      <xdr:col>8</xdr:col>
      <xdr:colOff>185737</xdr:colOff>
      <xdr:row>17</xdr:row>
      <xdr:rowOff>57150</xdr:rowOff>
    </xdr:to>
    <xdr:graphicFrame macro="">
      <xdr:nvGraphicFramePr>
        <xdr:cNvPr id="2" name="Chart 1">
          <a:extLst>
            <a:ext uri="{FF2B5EF4-FFF2-40B4-BE49-F238E27FC236}">
              <a16:creationId xmlns:a16="http://schemas.microsoft.com/office/drawing/2014/main" id="{8F1A826A-A21B-7B54-B1B5-537C7820F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647699</xdr:colOff>
      <xdr:row>5</xdr:row>
      <xdr:rowOff>114300</xdr:rowOff>
    </xdr:from>
    <xdr:to>
      <xdr:col>8</xdr:col>
      <xdr:colOff>185736</xdr:colOff>
      <xdr:row>17</xdr:row>
      <xdr:rowOff>57150</xdr:rowOff>
    </xdr:to>
    <xdr:graphicFrame macro="">
      <xdr:nvGraphicFramePr>
        <xdr:cNvPr id="2" name="Chart 1">
          <a:extLst>
            <a:ext uri="{FF2B5EF4-FFF2-40B4-BE49-F238E27FC236}">
              <a16:creationId xmlns:a16="http://schemas.microsoft.com/office/drawing/2014/main" id="{DBDBC717-39FF-0B48-F067-773BAF7E3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95250</xdr:colOff>
      <xdr:row>11</xdr:row>
      <xdr:rowOff>171450</xdr:rowOff>
    </xdr:from>
    <xdr:to>
      <xdr:col>11</xdr:col>
      <xdr:colOff>552450</xdr:colOff>
      <xdr:row>21</xdr:row>
      <xdr:rowOff>180975</xdr:rowOff>
    </xdr:to>
    <mc:AlternateContent xmlns:mc="http://schemas.openxmlformats.org/markup-compatibility/2006">
      <mc:Choice xmlns:a14="http://schemas.microsoft.com/office/drawing/2010/main" Requires="a14">
        <xdr:graphicFrame macro="">
          <xdr:nvGraphicFramePr>
            <xdr:cNvPr id="3" name="Education Field 2">
              <a:extLst>
                <a:ext uri="{FF2B5EF4-FFF2-40B4-BE49-F238E27FC236}">
                  <a16:creationId xmlns:a16="http://schemas.microsoft.com/office/drawing/2014/main" id="{561BFD00-E1BF-9FE9-C000-56A44FA4EE98}"/>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7477125" y="2371725"/>
              <a:ext cx="1828800" cy="2009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xdr:colOff>
      <xdr:row>4</xdr:row>
      <xdr:rowOff>57150</xdr:rowOff>
    </xdr:from>
    <xdr:to>
      <xdr:col>11</xdr:col>
      <xdr:colOff>495300</xdr:colOff>
      <xdr:row>11</xdr:row>
      <xdr:rowOff>28575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150FD556-54F0-7B81-52B4-CE822592544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419975" y="857250"/>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604837</xdr:colOff>
      <xdr:row>4</xdr:row>
      <xdr:rowOff>180975</xdr:rowOff>
    </xdr:from>
    <xdr:to>
      <xdr:col>12</xdr:col>
      <xdr:colOff>376237</xdr:colOff>
      <xdr:row>18</xdr:row>
      <xdr:rowOff>123825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182BA3D9-840B-D295-72EA-6353640FA5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33962" y="9810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4</xdr:col>
      <xdr:colOff>114300</xdr:colOff>
      <xdr:row>14</xdr:row>
      <xdr:rowOff>114300</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705100" y="2781300"/>
          <a:ext cx="333375" cy="314325"/>
        </a:xfrm>
        <a:prstGeom prst="rect">
          <a:avLst/>
        </a:prstGeom>
        <a:noFill/>
      </xdr:spPr>
    </xdr:pic>
    <xdr:clientData fLocksWithSheet="0"/>
  </xdr:oneCellAnchor>
  <xdr:oneCellAnchor>
    <xdr:from>
      <xdr:col>8</xdr:col>
      <xdr:colOff>152400</xdr:colOff>
      <xdr:row>14</xdr:row>
      <xdr:rowOff>133350</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5334000" y="2800350"/>
          <a:ext cx="419100" cy="304800"/>
        </a:xfrm>
        <a:prstGeom prst="rect">
          <a:avLst/>
        </a:prstGeom>
        <a:noFill/>
      </xdr:spPr>
    </xdr:pic>
    <xdr:clientData fLocksWithSheet="0"/>
  </xdr:oneCellAnchor>
  <xdr:oneCellAnchor>
    <xdr:from>
      <xdr:col>9</xdr:col>
      <xdr:colOff>57150</xdr:colOff>
      <xdr:row>14</xdr:row>
      <xdr:rowOff>142875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5886450" y="2809875"/>
          <a:ext cx="390525" cy="314325"/>
        </a:xfrm>
        <a:prstGeom prst="rect">
          <a:avLst/>
        </a:prstGeom>
        <a:noFill/>
      </xdr:spPr>
    </xdr:pic>
    <xdr:clientData fLocksWithSheet="0"/>
  </xdr:oneCellAnchor>
  <xdr:oneCellAnchor>
    <xdr:from>
      <xdr:col>10</xdr:col>
      <xdr:colOff>85725</xdr:colOff>
      <xdr:row>15</xdr:row>
      <xdr:rowOff>0</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xfrm>
          <a:off x="6562725" y="2857500"/>
          <a:ext cx="295275" cy="266700"/>
        </a:xfrm>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xdr:col>
      <xdr:colOff>600075</xdr:colOff>
      <xdr:row>14</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xfrm>
          <a:off x="1895475" y="2714625"/>
          <a:ext cx="542925" cy="523875"/>
        </a:xfrm>
        <a:prstGeom prst="rect">
          <a:avLst/>
        </a:prstGeom>
        <a:noFill/>
      </xdr:spPr>
    </xdr:pic>
    <xdr:clientData fLocksWithSheet="0"/>
  </xdr:oneCellAnchor>
  <xdr:oneCellAnchor>
    <xdr:from>
      <xdr:col>4</xdr:col>
      <xdr:colOff>609600</xdr:colOff>
      <xdr:row>13</xdr:row>
      <xdr:rowOff>133350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xfrm>
          <a:off x="3200400" y="2609850"/>
          <a:ext cx="723900" cy="628650"/>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5421166" cy="11252057"/>
    <xdr:grpSp>
      <xdr:nvGrpSpPr>
        <xdr:cNvPr id="2" name="Shape 2">
          <a:extLst>
            <a:ext uri="{FF2B5EF4-FFF2-40B4-BE49-F238E27FC236}">
              <a16:creationId xmlns:a16="http://schemas.microsoft.com/office/drawing/2014/main" id="{00000000-0008-0000-0300-000002000000}"/>
            </a:ext>
          </a:extLst>
        </xdr:cNvPr>
        <xdr:cNvGrpSpPr/>
      </xdr:nvGrpSpPr>
      <xdr:grpSpPr>
        <a:xfrm>
          <a:off x="0" y="0"/>
          <a:ext cx="25421166" cy="11252057"/>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solidFill>
                <a:srgbClr val="7F7F7F"/>
              </a:solid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noFill/>
              </a:endParaRPr>
            </a:p>
          </xdr:txBody>
        </xdr:sp>
        <xdr:sp macro="" textlink="GENDER!$B$12">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fld id="{804D88EC-074B-40D7-85E3-4D5E96CED682}" type="TxLink">
                <a:rPr lang="en-US" sz="1200" b="0" i="0" u="none" strike="noStrike">
                  <a:solidFill>
                    <a:srgbClr val="000000"/>
                  </a:solidFill>
                  <a:latin typeface="Calibri"/>
                  <a:ea typeface="Calibri"/>
                  <a:cs typeface="Calibri"/>
                  <a:sym typeface="Calibri"/>
                </a:rPr>
                <a:pPr marL="0" lvl="0" indent="0" algn="ctr" rtl="0">
                  <a:spcBef>
                    <a:spcPts val="0"/>
                  </a:spcBef>
                  <a:spcAft>
                    <a:spcPts val="0"/>
                  </a:spcAft>
                  <a:buNone/>
                </a:pPr>
                <a:t>166</a:t>
              </a:fld>
              <a:endParaRPr sz="1400">
                <a:noFill/>
              </a:endParaRPr>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no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noFill/>
              </a:endParaRPr>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noFill/>
              </a:endParaRPr>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3"/>
              <a:ext cx="13279475" cy="998849"/>
              <a:chOff x="1846116" y="1215713"/>
              <a:chExt cx="13393691" cy="998849"/>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noFill/>
                </a:endParaRPr>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67481"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noFill/>
                </a:endParaRPr>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noFill/>
                </a:endParaRPr>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74699" y="1215713"/>
                <a:ext cx="2510983" cy="993412"/>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noFill/>
                </a:endParaRPr>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37749" y="1215714"/>
                <a:ext cx="2602058" cy="998848"/>
              </a:xfrm>
              <a:prstGeom prst="roundRect">
                <a:avLst>
                  <a:gd name="adj" fmla="val 41195"/>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noFill/>
                </a:endParaRPr>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noFill/>
                </a:endParaRPr>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noFill/>
              </a:endParaRPr>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noFill/>
              </a:endParaRPr>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noFill/>
              </a:endParaRPr>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noFill/>
              </a:endParaRPr>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noFill/>
              </a:endParaRPr>
            </a:p>
          </xdr:txBody>
        </xdr:sp>
      </xdr:grpSp>
    </xdr:grpSp>
    <xdr:clientData fLocksWithSheet="0"/>
  </xdr:oneCellAnchor>
  <xdr:twoCellAnchor>
    <xdr:from>
      <xdr:col>0</xdr:col>
      <xdr:colOff>508000</xdr:colOff>
      <xdr:row>8</xdr:row>
      <xdr:rowOff>63500</xdr:rowOff>
    </xdr:from>
    <xdr:to>
      <xdr:col>6</xdr:col>
      <xdr:colOff>571500</xdr:colOff>
      <xdr:row>11</xdr:row>
      <xdr:rowOff>21167</xdr:rowOff>
    </xdr:to>
    <xdr:sp macro="" textlink="">
      <xdr:nvSpPr>
        <xdr:cNvPr id="3" name="TextBox 2">
          <a:extLst>
            <a:ext uri="{FF2B5EF4-FFF2-40B4-BE49-F238E27FC236}">
              <a16:creationId xmlns:a16="http://schemas.microsoft.com/office/drawing/2014/main" id="{D14F032A-DB1C-0757-0DD1-9049787068E3}"/>
            </a:ext>
          </a:extLst>
        </xdr:cNvPr>
        <xdr:cNvSpPr txBox="1"/>
      </xdr:nvSpPr>
      <xdr:spPr>
        <a:xfrm>
          <a:off x="508000" y="1587500"/>
          <a:ext cx="4000500" cy="52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accent2">
                  <a:lumMod val="50000"/>
                </a:schemeClr>
              </a:solidFill>
              <a:latin typeface="Bahnschrift" panose="020B0502040204020203" pitchFamily="34" charset="0"/>
            </a:rPr>
            <a:t>Total</a:t>
          </a:r>
          <a:r>
            <a:rPr lang="en-IN" sz="2800" b="1" baseline="0">
              <a:solidFill>
                <a:schemeClr val="accent2">
                  <a:lumMod val="50000"/>
                </a:schemeClr>
              </a:solidFill>
              <a:latin typeface="Bahnschrift" panose="020B0502040204020203" pitchFamily="34" charset="0"/>
            </a:rPr>
            <a:t> Employees</a:t>
          </a:r>
          <a:endParaRPr lang="en-IN" sz="2800" b="1">
            <a:solidFill>
              <a:schemeClr val="accent2">
                <a:lumMod val="50000"/>
              </a:schemeClr>
            </a:solidFill>
            <a:latin typeface="Bahnschrift" panose="020B0502040204020203" pitchFamily="34" charset="0"/>
          </a:endParaRPr>
        </a:p>
      </xdr:txBody>
    </xdr:sp>
    <xdr:clientData/>
  </xdr:twoCellAnchor>
  <xdr:twoCellAnchor>
    <xdr:from>
      <xdr:col>1</xdr:col>
      <xdr:colOff>613833</xdr:colOff>
      <xdr:row>11</xdr:row>
      <xdr:rowOff>127000</xdr:rowOff>
    </xdr:from>
    <xdr:to>
      <xdr:col>5</xdr:col>
      <xdr:colOff>508000</xdr:colOff>
      <xdr:row>15</xdr:row>
      <xdr:rowOff>63500</xdr:rowOff>
    </xdr:to>
    <xdr:sp macro="" textlink="KPI!E17">
      <xdr:nvSpPr>
        <xdr:cNvPr id="5" name="TextBox 4">
          <a:extLst>
            <a:ext uri="{FF2B5EF4-FFF2-40B4-BE49-F238E27FC236}">
              <a16:creationId xmlns:a16="http://schemas.microsoft.com/office/drawing/2014/main" id="{66EBDF8D-FE15-E6B0-A0A4-C97AE4FD80FC}"/>
            </a:ext>
          </a:extLst>
        </xdr:cNvPr>
        <xdr:cNvSpPr txBox="1"/>
      </xdr:nvSpPr>
      <xdr:spPr>
        <a:xfrm>
          <a:off x="1270000" y="2222500"/>
          <a:ext cx="2518833"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D3EE39-9587-4A80-B906-72A9E91895F5}" type="TxLink">
            <a:rPr lang="en-US" sz="2800" b="0"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lgn="ctr"/>
            <a:t>1470</a:t>
          </a:fld>
          <a:endParaRPr lang="en-IN" sz="2800">
            <a:ln>
              <a:noFill/>
            </a:ln>
          </a:endParaRPr>
        </a:p>
      </xdr:txBody>
    </xdr:sp>
    <xdr:clientData/>
  </xdr:twoCellAnchor>
  <xdr:twoCellAnchor>
    <xdr:from>
      <xdr:col>9</xdr:col>
      <xdr:colOff>571499</xdr:colOff>
      <xdr:row>8</xdr:row>
      <xdr:rowOff>84667</xdr:rowOff>
    </xdr:from>
    <xdr:to>
      <xdr:col>14</xdr:col>
      <xdr:colOff>42334</xdr:colOff>
      <xdr:row>11</xdr:row>
      <xdr:rowOff>63499</xdr:rowOff>
    </xdr:to>
    <xdr:sp macro="" textlink="">
      <xdr:nvSpPr>
        <xdr:cNvPr id="58" name="TextBox 57">
          <a:extLst>
            <a:ext uri="{FF2B5EF4-FFF2-40B4-BE49-F238E27FC236}">
              <a16:creationId xmlns:a16="http://schemas.microsoft.com/office/drawing/2014/main" id="{97C2F3AD-D6DF-333C-AB5B-67B486E705B7}"/>
            </a:ext>
          </a:extLst>
        </xdr:cNvPr>
        <xdr:cNvSpPr txBox="1"/>
      </xdr:nvSpPr>
      <xdr:spPr>
        <a:xfrm>
          <a:off x="6476999" y="1608667"/>
          <a:ext cx="2751668" cy="550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accent2">
                  <a:lumMod val="50000"/>
                </a:schemeClr>
              </a:solidFill>
              <a:latin typeface="Bahnschrift" panose="020B0502040204020203" pitchFamily="34" charset="0"/>
            </a:rPr>
            <a:t>Attrition</a:t>
          </a:r>
        </a:p>
      </xdr:txBody>
    </xdr:sp>
    <xdr:clientData/>
  </xdr:twoCellAnchor>
  <xdr:twoCellAnchor>
    <xdr:from>
      <xdr:col>16</xdr:col>
      <xdr:colOff>579010</xdr:colOff>
      <xdr:row>8</xdr:row>
      <xdr:rowOff>0</xdr:rowOff>
    </xdr:from>
    <xdr:to>
      <xdr:col>21</xdr:col>
      <xdr:colOff>61109</xdr:colOff>
      <xdr:row>10</xdr:row>
      <xdr:rowOff>117099</xdr:rowOff>
    </xdr:to>
    <xdr:sp macro="" textlink="">
      <xdr:nvSpPr>
        <xdr:cNvPr id="140" name="TextBox 139">
          <a:extLst>
            <a:ext uri="{FF2B5EF4-FFF2-40B4-BE49-F238E27FC236}">
              <a16:creationId xmlns:a16="http://schemas.microsoft.com/office/drawing/2014/main" id="{FEBAFC50-0155-CB59-76E8-4C65124499BA}"/>
            </a:ext>
          </a:extLst>
        </xdr:cNvPr>
        <xdr:cNvSpPr txBox="1"/>
      </xdr:nvSpPr>
      <xdr:spPr>
        <a:xfrm>
          <a:off x="11077677" y="1524000"/>
          <a:ext cx="2741765" cy="498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accent2">
                  <a:lumMod val="50000"/>
                </a:schemeClr>
              </a:solidFill>
              <a:latin typeface="Bahnschrift" panose="020B0502040204020203" pitchFamily="34" charset="0"/>
            </a:rPr>
            <a:t>Average</a:t>
          </a:r>
          <a:r>
            <a:rPr lang="en-IN" sz="2800" b="1" baseline="0">
              <a:solidFill>
                <a:schemeClr val="accent2">
                  <a:lumMod val="50000"/>
                </a:schemeClr>
              </a:solidFill>
              <a:latin typeface="Bahnschrift" panose="020B0502040204020203" pitchFamily="34" charset="0"/>
            </a:rPr>
            <a:t> Age</a:t>
          </a:r>
          <a:endParaRPr lang="en-IN" sz="2800" b="1">
            <a:solidFill>
              <a:schemeClr val="accent2">
                <a:lumMod val="50000"/>
              </a:schemeClr>
            </a:solidFill>
            <a:latin typeface="Bahnschrift" panose="020B0502040204020203" pitchFamily="34" charset="0"/>
          </a:endParaRPr>
        </a:p>
      </xdr:txBody>
    </xdr:sp>
    <xdr:clientData/>
  </xdr:twoCellAnchor>
  <xdr:twoCellAnchor>
    <xdr:from>
      <xdr:col>24</xdr:col>
      <xdr:colOff>190500</xdr:colOff>
      <xdr:row>8</xdr:row>
      <xdr:rowOff>9558</xdr:rowOff>
    </xdr:from>
    <xdr:to>
      <xdr:col>28</xdr:col>
      <xdr:colOff>347885</xdr:colOff>
      <xdr:row>12</xdr:row>
      <xdr:rowOff>84667</xdr:rowOff>
    </xdr:to>
    <xdr:sp macro="" textlink="">
      <xdr:nvSpPr>
        <xdr:cNvPr id="141" name="TextBox 140">
          <a:extLst>
            <a:ext uri="{FF2B5EF4-FFF2-40B4-BE49-F238E27FC236}">
              <a16:creationId xmlns:a16="http://schemas.microsoft.com/office/drawing/2014/main" id="{0F9CB0FC-358A-CB0D-F926-101CC8157F3A}"/>
            </a:ext>
          </a:extLst>
        </xdr:cNvPr>
        <xdr:cNvSpPr txBox="1"/>
      </xdr:nvSpPr>
      <xdr:spPr>
        <a:xfrm>
          <a:off x="15917333" y="1533558"/>
          <a:ext cx="3205385" cy="837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accent2">
                  <a:lumMod val="50000"/>
                </a:schemeClr>
              </a:solidFill>
              <a:latin typeface="Bahnschrift" panose="020B0502040204020203" pitchFamily="34" charset="0"/>
            </a:rPr>
            <a:t>Active Employees</a:t>
          </a:r>
        </a:p>
      </xdr:txBody>
    </xdr:sp>
    <xdr:clientData/>
  </xdr:twoCellAnchor>
  <xdr:twoCellAnchor>
    <xdr:from>
      <xdr:col>30</xdr:col>
      <xdr:colOff>275166</xdr:colOff>
      <xdr:row>8</xdr:row>
      <xdr:rowOff>21167</xdr:rowOff>
    </xdr:from>
    <xdr:to>
      <xdr:col>33</xdr:col>
      <xdr:colOff>825499</xdr:colOff>
      <xdr:row>11</xdr:row>
      <xdr:rowOff>63500</xdr:rowOff>
    </xdr:to>
    <xdr:sp macro="" textlink="">
      <xdr:nvSpPr>
        <xdr:cNvPr id="142" name="TextBox 141">
          <a:extLst>
            <a:ext uri="{FF2B5EF4-FFF2-40B4-BE49-F238E27FC236}">
              <a16:creationId xmlns:a16="http://schemas.microsoft.com/office/drawing/2014/main" id="{E2F7EA29-2E95-6E56-E900-FEC89C125DF6}"/>
            </a:ext>
          </a:extLst>
        </xdr:cNvPr>
        <xdr:cNvSpPr txBox="1"/>
      </xdr:nvSpPr>
      <xdr:spPr>
        <a:xfrm>
          <a:off x="20785666" y="1545167"/>
          <a:ext cx="3153833" cy="613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accent2">
                  <a:lumMod val="50000"/>
                </a:schemeClr>
              </a:solidFill>
              <a:latin typeface="Bahnschrift" panose="020B0502040204020203" pitchFamily="34" charset="0"/>
            </a:rPr>
            <a:t>Attrition</a:t>
          </a:r>
          <a:r>
            <a:rPr lang="en-IN" sz="2800" b="1" baseline="0">
              <a:solidFill>
                <a:schemeClr val="accent2">
                  <a:lumMod val="50000"/>
                </a:schemeClr>
              </a:solidFill>
              <a:latin typeface="Bahnschrift" panose="020B0502040204020203" pitchFamily="34" charset="0"/>
            </a:rPr>
            <a:t> Rate</a:t>
          </a:r>
          <a:endParaRPr lang="en-IN" sz="2800" b="1">
            <a:solidFill>
              <a:schemeClr val="accent2">
                <a:lumMod val="50000"/>
              </a:schemeClr>
            </a:solidFill>
            <a:latin typeface="Bahnschrift" panose="020B0502040204020203" pitchFamily="34" charset="0"/>
          </a:endParaRPr>
        </a:p>
      </xdr:txBody>
    </xdr:sp>
    <xdr:clientData/>
  </xdr:twoCellAnchor>
  <xdr:twoCellAnchor>
    <xdr:from>
      <xdr:col>10</xdr:col>
      <xdr:colOff>191523</xdr:colOff>
      <xdr:row>11</xdr:row>
      <xdr:rowOff>71009</xdr:rowOff>
    </xdr:from>
    <xdr:to>
      <xdr:col>13</xdr:col>
      <xdr:colOff>211666</xdr:colOff>
      <xdr:row>14</xdr:row>
      <xdr:rowOff>105833</xdr:rowOff>
    </xdr:to>
    <xdr:sp macro="" textlink="KPI!F17">
      <xdr:nvSpPr>
        <xdr:cNvPr id="143" name="TextBox 142">
          <a:extLst>
            <a:ext uri="{FF2B5EF4-FFF2-40B4-BE49-F238E27FC236}">
              <a16:creationId xmlns:a16="http://schemas.microsoft.com/office/drawing/2014/main" id="{1540EF99-ABC5-DDFF-260F-754818574DF8}"/>
            </a:ext>
          </a:extLst>
        </xdr:cNvPr>
        <xdr:cNvSpPr txBox="1"/>
      </xdr:nvSpPr>
      <xdr:spPr>
        <a:xfrm>
          <a:off x="6753190" y="2166509"/>
          <a:ext cx="1988643" cy="606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F5F95B-F9CB-478A-8786-8D7408573FE1}" type="TxLink">
            <a:rPr lang="en-US" sz="2800" b="0" i="0" u="none" strike="noStrike">
              <a:solidFill>
                <a:srgbClr val="000000"/>
              </a:solidFill>
              <a:latin typeface="Calibri"/>
              <a:cs typeface="Calibri"/>
            </a:rPr>
            <a:pPr algn="ctr"/>
            <a:t>237</a:t>
          </a:fld>
          <a:endParaRPr lang="en-IN" sz="2800"/>
        </a:p>
      </xdr:txBody>
    </xdr:sp>
    <xdr:clientData/>
  </xdr:twoCellAnchor>
  <xdr:twoCellAnchor>
    <xdr:from>
      <xdr:col>17</xdr:col>
      <xdr:colOff>235564</xdr:colOff>
      <xdr:row>11</xdr:row>
      <xdr:rowOff>59401</xdr:rowOff>
    </xdr:from>
    <xdr:to>
      <xdr:col>20</xdr:col>
      <xdr:colOff>190499</xdr:colOff>
      <xdr:row>14</xdr:row>
      <xdr:rowOff>105832</xdr:rowOff>
    </xdr:to>
    <xdr:sp macro="" textlink="KPI!G17">
      <xdr:nvSpPr>
        <xdr:cNvPr id="144" name="TextBox 143">
          <a:extLst>
            <a:ext uri="{FF2B5EF4-FFF2-40B4-BE49-F238E27FC236}">
              <a16:creationId xmlns:a16="http://schemas.microsoft.com/office/drawing/2014/main" id="{7DB3AFB8-4DAB-8111-9DA7-BB92E292E890}"/>
            </a:ext>
          </a:extLst>
        </xdr:cNvPr>
        <xdr:cNvSpPr txBox="1"/>
      </xdr:nvSpPr>
      <xdr:spPr>
        <a:xfrm>
          <a:off x="11369231" y="2154901"/>
          <a:ext cx="1923435" cy="617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BBFD98-536C-45A1-AB6C-A2A959C504DB}" type="TxLink">
            <a:rPr lang="en-US" sz="2800" b="0" i="0" u="none" strike="noStrike">
              <a:solidFill>
                <a:srgbClr val="000000"/>
              </a:solidFill>
              <a:latin typeface="Calibri"/>
              <a:cs typeface="Calibri"/>
            </a:rPr>
            <a:pPr algn="ctr"/>
            <a:t>37</a:t>
          </a:fld>
          <a:endParaRPr lang="en-IN" sz="2800"/>
        </a:p>
      </xdr:txBody>
    </xdr:sp>
    <xdr:clientData/>
  </xdr:twoCellAnchor>
  <xdr:twoCellAnchor>
    <xdr:from>
      <xdr:col>24</xdr:col>
      <xdr:colOff>248879</xdr:colOff>
      <xdr:row>11</xdr:row>
      <xdr:rowOff>65207</xdr:rowOff>
    </xdr:from>
    <xdr:to>
      <xdr:col>28</xdr:col>
      <xdr:colOff>20826</xdr:colOff>
      <xdr:row>14</xdr:row>
      <xdr:rowOff>105833</xdr:rowOff>
    </xdr:to>
    <xdr:sp macro="" textlink="KPI!H17">
      <xdr:nvSpPr>
        <xdr:cNvPr id="145" name="TextBox 144">
          <a:extLst>
            <a:ext uri="{FF2B5EF4-FFF2-40B4-BE49-F238E27FC236}">
              <a16:creationId xmlns:a16="http://schemas.microsoft.com/office/drawing/2014/main" id="{F243F83D-90F3-3686-B5CE-F50D13A54D14}"/>
            </a:ext>
          </a:extLst>
        </xdr:cNvPr>
        <xdr:cNvSpPr txBox="1"/>
      </xdr:nvSpPr>
      <xdr:spPr>
        <a:xfrm>
          <a:off x="15975712" y="2160707"/>
          <a:ext cx="2819947" cy="612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CA0398-6056-43C1-8B4F-A43E51D46DC2}" type="TxLink">
            <a:rPr lang="en-US" sz="2800" b="0" i="0" u="none" strike="noStrike">
              <a:solidFill>
                <a:srgbClr val="000000"/>
              </a:solidFill>
              <a:latin typeface="Calibri"/>
              <a:cs typeface="Calibri"/>
            </a:rPr>
            <a:pPr algn="ctr"/>
            <a:t>1233</a:t>
          </a:fld>
          <a:endParaRPr lang="en-IN" sz="2800"/>
        </a:p>
      </xdr:txBody>
    </xdr:sp>
    <xdr:clientData/>
  </xdr:twoCellAnchor>
  <xdr:twoCellAnchor>
    <xdr:from>
      <xdr:col>30</xdr:col>
      <xdr:colOff>783167</xdr:colOff>
      <xdr:row>11</xdr:row>
      <xdr:rowOff>30344</xdr:rowOff>
    </xdr:from>
    <xdr:to>
      <xdr:col>33</xdr:col>
      <xdr:colOff>338667</xdr:colOff>
      <xdr:row>14</xdr:row>
      <xdr:rowOff>127000</xdr:rowOff>
    </xdr:to>
    <xdr:sp macro="" textlink="KPI!I17">
      <xdr:nvSpPr>
        <xdr:cNvPr id="146" name="TextBox 145">
          <a:extLst>
            <a:ext uri="{FF2B5EF4-FFF2-40B4-BE49-F238E27FC236}">
              <a16:creationId xmlns:a16="http://schemas.microsoft.com/office/drawing/2014/main" id="{97D333C9-B3E8-1600-8F71-3832C31455C2}"/>
            </a:ext>
          </a:extLst>
        </xdr:cNvPr>
        <xdr:cNvSpPr txBox="1"/>
      </xdr:nvSpPr>
      <xdr:spPr>
        <a:xfrm>
          <a:off x="21293667" y="2125844"/>
          <a:ext cx="2159000" cy="668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9306DB-A830-4119-9678-75EA2E617654}" type="TxLink">
            <a:rPr lang="en-US" sz="2800" b="0" i="0" u="none" strike="noStrike">
              <a:solidFill>
                <a:srgbClr val="000000"/>
              </a:solidFill>
              <a:latin typeface="Calibri"/>
              <a:cs typeface="Calibri"/>
            </a:rPr>
            <a:pPr algn="ctr"/>
            <a:t>16.12%</a:t>
          </a:fld>
          <a:endParaRPr lang="en-IN" sz="2800"/>
        </a:p>
      </xdr:txBody>
    </xdr:sp>
    <xdr:clientData/>
  </xdr:twoCellAnchor>
  <xdr:oneCellAnchor>
    <xdr:from>
      <xdr:col>6</xdr:col>
      <xdr:colOff>41990</xdr:colOff>
      <xdr:row>8</xdr:row>
      <xdr:rowOff>97955</xdr:rowOff>
    </xdr:from>
    <xdr:ext cx="656510" cy="558212"/>
    <xdr:pic>
      <xdr:nvPicPr>
        <xdr:cNvPr id="147" name="image4.png">
          <a:extLst>
            <a:ext uri="{FF2B5EF4-FFF2-40B4-BE49-F238E27FC236}">
              <a16:creationId xmlns:a16="http://schemas.microsoft.com/office/drawing/2014/main" id="{7E9E1970-2121-43E4-9DCB-833272A82C6E}"/>
            </a:ext>
          </a:extLst>
        </xdr:cNvPr>
        <xdr:cNvPicPr preferRelativeResize="0"/>
      </xdr:nvPicPr>
      <xdr:blipFill>
        <a:blip xmlns:r="http://schemas.openxmlformats.org/officeDocument/2006/relationships" r:embed="rId1" cstate="print"/>
        <a:stretch>
          <a:fillRect/>
        </a:stretch>
      </xdr:blipFill>
      <xdr:spPr>
        <a:xfrm>
          <a:off x="3978990" y="1621955"/>
          <a:ext cx="656510" cy="558212"/>
        </a:xfrm>
        <a:prstGeom prst="rect">
          <a:avLst/>
        </a:prstGeom>
        <a:noFill/>
      </xdr:spPr>
    </xdr:pic>
    <xdr:clientData fLocksWithSheet="0"/>
  </xdr:oneCellAnchor>
  <xdr:oneCellAnchor>
    <xdr:from>
      <xdr:col>28</xdr:col>
      <xdr:colOff>353689</xdr:colOff>
      <xdr:row>7</xdr:row>
      <xdr:rowOff>180600</xdr:rowOff>
    </xdr:from>
    <xdr:ext cx="619978" cy="581400"/>
    <xdr:pic>
      <xdr:nvPicPr>
        <xdr:cNvPr id="148" name="image5.png">
          <a:extLst>
            <a:ext uri="{FF2B5EF4-FFF2-40B4-BE49-F238E27FC236}">
              <a16:creationId xmlns:a16="http://schemas.microsoft.com/office/drawing/2014/main" id="{9F62C615-09C7-4D8C-9CB2-F316380E20E5}"/>
            </a:ext>
          </a:extLst>
        </xdr:cNvPr>
        <xdr:cNvPicPr preferRelativeResize="0"/>
      </xdr:nvPicPr>
      <xdr:blipFill>
        <a:blip xmlns:r="http://schemas.openxmlformats.org/officeDocument/2006/relationships" r:embed="rId2" cstate="print"/>
        <a:stretch>
          <a:fillRect/>
        </a:stretch>
      </xdr:blipFill>
      <xdr:spPr>
        <a:xfrm>
          <a:off x="19128522" y="1514100"/>
          <a:ext cx="619978" cy="581400"/>
        </a:xfrm>
        <a:prstGeom prst="rect">
          <a:avLst/>
        </a:prstGeom>
        <a:noFill/>
      </xdr:spPr>
    </xdr:pic>
    <xdr:clientData fLocksWithSheet="0"/>
  </xdr:oneCellAnchor>
  <xdr:oneCellAnchor>
    <xdr:from>
      <xdr:col>34</xdr:col>
      <xdr:colOff>0</xdr:colOff>
      <xdr:row>8</xdr:row>
      <xdr:rowOff>63500</xdr:rowOff>
    </xdr:from>
    <xdr:ext cx="682761" cy="698500"/>
    <xdr:pic>
      <xdr:nvPicPr>
        <xdr:cNvPr id="149" name="image2.png">
          <a:extLst>
            <a:ext uri="{FF2B5EF4-FFF2-40B4-BE49-F238E27FC236}">
              <a16:creationId xmlns:a16="http://schemas.microsoft.com/office/drawing/2014/main" id="{B3B1A7D9-6BAE-4DEB-AFF7-D2B823677176}"/>
            </a:ext>
          </a:extLst>
        </xdr:cNvPr>
        <xdr:cNvPicPr preferRelativeResize="0"/>
      </xdr:nvPicPr>
      <xdr:blipFill>
        <a:blip xmlns:r="http://schemas.openxmlformats.org/officeDocument/2006/relationships" r:embed="rId3" cstate="print"/>
        <a:stretch>
          <a:fillRect/>
        </a:stretch>
      </xdr:blipFill>
      <xdr:spPr>
        <a:xfrm>
          <a:off x="23981833" y="1587500"/>
          <a:ext cx="682761" cy="698500"/>
        </a:xfrm>
        <a:prstGeom prst="rect">
          <a:avLst/>
        </a:prstGeom>
        <a:noFill/>
      </xdr:spPr>
    </xdr:pic>
    <xdr:clientData fLocksWithSheet="0"/>
  </xdr:oneCellAnchor>
  <xdr:oneCellAnchor>
    <xdr:from>
      <xdr:col>21</xdr:col>
      <xdr:colOff>84668</xdr:colOff>
      <xdr:row>8</xdr:row>
      <xdr:rowOff>26629</xdr:rowOff>
    </xdr:from>
    <xdr:ext cx="762000" cy="693037"/>
    <xdr:pic>
      <xdr:nvPicPr>
        <xdr:cNvPr id="150" name="image6.png">
          <a:extLst>
            <a:ext uri="{FF2B5EF4-FFF2-40B4-BE49-F238E27FC236}">
              <a16:creationId xmlns:a16="http://schemas.microsoft.com/office/drawing/2014/main" id="{C5DEF1DE-F021-46D5-BD6B-15CFB6DCC512}"/>
            </a:ext>
          </a:extLst>
        </xdr:cNvPr>
        <xdr:cNvPicPr preferRelativeResize="0"/>
      </xdr:nvPicPr>
      <xdr:blipFill>
        <a:blip xmlns:r="http://schemas.openxmlformats.org/officeDocument/2006/relationships" r:embed="rId4" cstate="print"/>
        <a:stretch>
          <a:fillRect/>
        </a:stretch>
      </xdr:blipFill>
      <xdr:spPr>
        <a:xfrm>
          <a:off x="13843001" y="1550629"/>
          <a:ext cx="762000" cy="693037"/>
        </a:xfrm>
        <a:prstGeom prst="rect">
          <a:avLst/>
        </a:prstGeom>
        <a:noFill/>
      </xdr:spPr>
    </xdr:pic>
    <xdr:clientData fLocksWithSheet="0"/>
  </xdr:oneCellAnchor>
  <xdr:oneCellAnchor>
    <xdr:from>
      <xdr:col>13</xdr:col>
      <xdr:colOff>139972</xdr:colOff>
      <xdr:row>8</xdr:row>
      <xdr:rowOff>0</xdr:rowOff>
    </xdr:from>
    <xdr:ext cx="1214694" cy="825499"/>
    <xdr:pic>
      <xdr:nvPicPr>
        <xdr:cNvPr id="151" name="image7.png">
          <a:extLst>
            <a:ext uri="{FF2B5EF4-FFF2-40B4-BE49-F238E27FC236}">
              <a16:creationId xmlns:a16="http://schemas.microsoft.com/office/drawing/2014/main" id="{21D6B6B1-4215-4EF1-8A4B-28C99F4D956E}"/>
            </a:ext>
          </a:extLst>
        </xdr:cNvPr>
        <xdr:cNvPicPr preferRelativeResize="0"/>
      </xdr:nvPicPr>
      <xdr:blipFill>
        <a:blip xmlns:r="http://schemas.openxmlformats.org/officeDocument/2006/relationships" r:embed="rId5" cstate="print"/>
        <a:stretch>
          <a:fillRect/>
        </a:stretch>
      </xdr:blipFill>
      <xdr:spPr>
        <a:xfrm>
          <a:off x="8670139" y="1524000"/>
          <a:ext cx="1214694" cy="825499"/>
        </a:xfrm>
        <a:prstGeom prst="rect">
          <a:avLst/>
        </a:prstGeom>
        <a:noFill/>
      </xdr:spPr>
    </xdr:pic>
    <xdr:clientData fLocksWithSheet="0"/>
  </xdr:oneCellAnchor>
  <xdr:twoCellAnchor>
    <xdr:from>
      <xdr:col>3</xdr:col>
      <xdr:colOff>138266</xdr:colOff>
      <xdr:row>1</xdr:row>
      <xdr:rowOff>21167</xdr:rowOff>
    </xdr:from>
    <xdr:to>
      <xdr:col>19</xdr:col>
      <xdr:colOff>232833</xdr:colOff>
      <xdr:row>6</xdr:row>
      <xdr:rowOff>84666</xdr:rowOff>
    </xdr:to>
    <xdr:sp macro="" textlink="">
      <xdr:nvSpPr>
        <xdr:cNvPr id="152" name="TextBox 151">
          <a:extLst>
            <a:ext uri="{FF2B5EF4-FFF2-40B4-BE49-F238E27FC236}">
              <a16:creationId xmlns:a16="http://schemas.microsoft.com/office/drawing/2014/main" id="{80574100-506F-40C0-5ED3-DA43CEBA74C8}"/>
            </a:ext>
          </a:extLst>
        </xdr:cNvPr>
        <xdr:cNvSpPr txBox="1"/>
      </xdr:nvSpPr>
      <xdr:spPr>
        <a:xfrm>
          <a:off x="2106766" y="211667"/>
          <a:ext cx="10572067" cy="1015999"/>
        </a:xfrm>
        <a:prstGeom prst="rect">
          <a:avLst/>
        </a:prstGeom>
        <a:solidFill>
          <a:schemeClr val="bg2">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1">
              <a:solidFill>
                <a:schemeClr val="accent1">
                  <a:lumMod val="50000"/>
                </a:schemeClr>
              </a:solidFill>
            </a:rPr>
            <a:t>HR  ANALYITICS </a:t>
          </a:r>
          <a:r>
            <a:rPr lang="en-IN" sz="4400" b="1" baseline="0">
              <a:solidFill>
                <a:schemeClr val="accent1">
                  <a:lumMod val="50000"/>
                </a:schemeClr>
              </a:solidFill>
            </a:rPr>
            <a:t> DASHBOARD</a:t>
          </a:r>
          <a:endParaRPr lang="en-IN" sz="4400" b="1">
            <a:solidFill>
              <a:schemeClr val="accent1">
                <a:lumMod val="50000"/>
              </a:schemeClr>
            </a:solidFill>
          </a:endParaRPr>
        </a:p>
      </xdr:txBody>
    </xdr:sp>
    <xdr:clientData/>
  </xdr:twoCellAnchor>
  <xdr:oneCellAnchor>
    <xdr:from>
      <xdr:col>0</xdr:col>
      <xdr:colOff>307258</xdr:colOff>
      <xdr:row>1</xdr:row>
      <xdr:rowOff>21168</xdr:rowOff>
    </xdr:from>
    <xdr:ext cx="1490201" cy="1058332"/>
    <xdr:pic>
      <xdr:nvPicPr>
        <xdr:cNvPr id="153" name="image1.png">
          <a:extLst>
            <a:ext uri="{FF2B5EF4-FFF2-40B4-BE49-F238E27FC236}">
              <a16:creationId xmlns:a16="http://schemas.microsoft.com/office/drawing/2014/main" id="{4EF043B1-9F2E-4026-A8E4-E8F64021EE05}"/>
            </a:ext>
          </a:extLst>
        </xdr:cNvPr>
        <xdr:cNvPicPr preferRelativeResize="0"/>
      </xdr:nvPicPr>
      <xdr:blipFill>
        <a:blip xmlns:r="http://schemas.openxmlformats.org/officeDocument/2006/relationships" r:embed="rId6" cstate="print">
          <a:extLst>
            <a:ext uri="{BEBA8EAE-BF5A-486C-A8C5-ECC9F3942E4B}">
              <a14:imgProps xmlns:a14="http://schemas.microsoft.com/office/drawing/2010/main">
                <a14:imgLayer r:embed="rId7">
                  <a14:imgEffect>
                    <a14:artisticPhotocopy/>
                  </a14:imgEffect>
                </a14:imgLayer>
              </a14:imgProps>
            </a:ext>
          </a:extLst>
        </a:blip>
        <a:stretch>
          <a:fillRect/>
        </a:stretch>
      </xdr:blipFill>
      <xdr:spPr>
        <a:xfrm>
          <a:off x="307258" y="211668"/>
          <a:ext cx="1490201" cy="1058332"/>
        </a:xfrm>
        <a:prstGeom prst="rect">
          <a:avLst/>
        </a:prstGeom>
        <a:noFill/>
        <a:ln>
          <a:solidFill>
            <a:schemeClr val="tx2"/>
          </a:solidFill>
        </a:ln>
      </xdr:spPr>
    </xdr:pic>
    <xdr:clientData fLocksWithSheet="0"/>
  </xdr:oneCellAnchor>
  <xdr:oneCellAnchor>
    <xdr:from>
      <xdr:col>20</xdr:col>
      <xdr:colOff>190500</xdr:colOff>
      <xdr:row>2</xdr:row>
      <xdr:rowOff>-1</xdr:rowOff>
    </xdr:from>
    <xdr:ext cx="1037165" cy="804334"/>
    <xdr:pic>
      <xdr:nvPicPr>
        <xdr:cNvPr id="155" name="image3.png">
          <a:extLst>
            <a:ext uri="{FF2B5EF4-FFF2-40B4-BE49-F238E27FC236}">
              <a16:creationId xmlns:a16="http://schemas.microsoft.com/office/drawing/2014/main" id="{92FD3CA4-7418-49F6-8471-116EC20D6676}"/>
            </a:ext>
          </a:extLst>
        </xdr:cNvPr>
        <xdr:cNvPicPr preferRelativeResize="0"/>
      </xdr:nvPicPr>
      <xdr:blipFill>
        <a:blip xmlns:r="http://schemas.openxmlformats.org/officeDocument/2006/relationships" r:embed="rId8" cstate="print"/>
        <a:stretch>
          <a:fillRect/>
        </a:stretch>
      </xdr:blipFill>
      <xdr:spPr>
        <a:xfrm>
          <a:off x="13292667" y="380999"/>
          <a:ext cx="1037165" cy="804334"/>
        </a:xfrm>
        <a:prstGeom prst="rect">
          <a:avLst/>
        </a:prstGeom>
        <a:noFill/>
        <a:ln>
          <a:noFill/>
        </a:ln>
      </xdr:spPr>
    </xdr:pic>
    <xdr:clientData fLocksWithSheet="0"/>
  </xdr:oneCellAnchor>
  <xdr:twoCellAnchor>
    <xdr:from>
      <xdr:col>23</xdr:col>
      <xdr:colOff>211666</xdr:colOff>
      <xdr:row>2</xdr:row>
      <xdr:rowOff>84667</xdr:rowOff>
    </xdr:from>
    <xdr:to>
      <xdr:col>28</xdr:col>
      <xdr:colOff>825500</xdr:colOff>
      <xdr:row>5</xdr:row>
      <xdr:rowOff>42334</xdr:rowOff>
    </xdr:to>
    <xdr:sp macro="" textlink="">
      <xdr:nvSpPr>
        <xdr:cNvPr id="157" name="TextBox 156">
          <a:extLst>
            <a:ext uri="{FF2B5EF4-FFF2-40B4-BE49-F238E27FC236}">
              <a16:creationId xmlns:a16="http://schemas.microsoft.com/office/drawing/2014/main" id="{B358D51A-BF0B-E3A1-CEA6-D198301764C9}"/>
            </a:ext>
          </a:extLst>
        </xdr:cNvPr>
        <xdr:cNvSpPr txBox="1"/>
      </xdr:nvSpPr>
      <xdr:spPr>
        <a:xfrm>
          <a:off x="15282333" y="465667"/>
          <a:ext cx="4318000" cy="52916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tx1"/>
              </a:solidFill>
            </a:rPr>
            <a:t>JOB</a:t>
          </a:r>
          <a:r>
            <a:rPr lang="en-IN" sz="2400" b="1" baseline="0">
              <a:solidFill>
                <a:schemeClr val="tx1"/>
              </a:solidFill>
            </a:rPr>
            <a:t> SATISFACTION RATING</a:t>
          </a:r>
          <a:endParaRPr lang="en-IN" sz="2400" b="1">
            <a:solidFill>
              <a:schemeClr val="tx1"/>
            </a:solidFill>
          </a:endParaRPr>
        </a:p>
      </xdr:txBody>
    </xdr:sp>
    <xdr:clientData/>
  </xdr:twoCellAnchor>
  <xdr:twoCellAnchor>
    <xdr:from>
      <xdr:col>29</xdr:col>
      <xdr:colOff>296333</xdr:colOff>
      <xdr:row>1</xdr:row>
      <xdr:rowOff>122901</xdr:rowOff>
    </xdr:from>
    <xdr:to>
      <xdr:col>32</xdr:col>
      <xdr:colOff>42333</xdr:colOff>
      <xdr:row>6</xdr:row>
      <xdr:rowOff>84666</xdr:rowOff>
    </xdr:to>
    <xdr:graphicFrame macro="">
      <xdr:nvGraphicFramePr>
        <xdr:cNvPr id="158" name="Chart 157">
          <a:extLst>
            <a:ext uri="{FF2B5EF4-FFF2-40B4-BE49-F238E27FC236}">
              <a16:creationId xmlns:a16="http://schemas.microsoft.com/office/drawing/2014/main" id="{64AA0585-3B9E-417F-8CB0-8551325A3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30</xdr:col>
      <xdr:colOff>314706</xdr:colOff>
      <xdr:row>2</xdr:row>
      <xdr:rowOff>168992</xdr:rowOff>
    </xdr:from>
    <xdr:to>
      <xdr:col>31</xdr:col>
      <xdr:colOff>49907</xdr:colOff>
      <xdr:row>5</xdr:row>
      <xdr:rowOff>105833</xdr:rowOff>
    </xdr:to>
    <xdr:sp macro="" textlink="RATING!$B$9">
      <xdr:nvSpPr>
        <xdr:cNvPr id="159" name="TextBox 158">
          <a:extLst>
            <a:ext uri="{FF2B5EF4-FFF2-40B4-BE49-F238E27FC236}">
              <a16:creationId xmlns:a16="http://schemas.microsoft.com/office/drawing/2014/main" id="{1DEE6A72-3E02-BDE7-A893-B0A80E9F6C7F}"/>
            </a:ext>
          </a:extLst>
        </xdr:cNvPr>
        <xdr:cNvSpPr txBox="1"/>
      </xdr:nvSpPr>
      <xdr:spPr>
        <a:xfrm>
          <a:off x="20825206" y="549992"/>
          <a:ext cx="603034" cy="508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BB945C-8CB8-4A3F-864C-EA84A143E657}" type="TxLink">
            <a:rPr lang="en-US" sz="1400" b="0" i="0" u="none" strike="noStrike">
              <a:solidFill>
                <a:srgbClr val="000000"/>
              </a:solidFill>
              <a:latin typeface="Calibri"/>
              <a:cs typeface="Calibri"/>
            </a:rPr>
            <a:pPr algn="ctr"/>
            <a:t>2.1</a:t>
          </a:fld>
          <a:endParaRPr lang="en-IN" sz="1400"/>
        </a:p>
      </xdr:txBody>
    </xdr:sp>
    <xdr:clientData/>
  </xdr:twoCellAnchor>
  <xdr:twoCellAnchor>
    <xdr:from>
      <xdr:col>32</xdr:col>
      <xdr:colOff>63500</xdr:colOff>
      <xdr:row>1</xdr:row>
      <xdr:rowOff>84667</xdr:rowOff>
    </xdr:from>
    <xdr:to>
      <xdr:col>35</xdr:col>
      <xdr:colOff>127000</xdr:colOff>
      <xdr:row>5</xdr:row>
      <xdr:rowOff>21167</xdr:rowOff>
    </xdr:to>
    <xdr:graphicFrame macro="">
      <xdr:nvGraphicFramePr>
        <xdr:cNvPr id="161" name="Chart 160">
          <a:extLst>
            <a:ext uri="{FF2B5EF4-FFF2-40B4-BE49-F238E27FC236}">
              <a16:creationId xmlns:a16="http://schemas.microsoft.com/office/drawing/2014/main" id="{A5D96A2B-99EB-4D6B-BA4C-D9841D642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32</xdr:col>
      <xdr:colOff>529166</xdr:colOff>
      <xdr:row>2</xdr:row>
      <xdr:rowOff>105834</xdr:rowOff>
    </xdr:from>
    <xdr:to>
      <xdr:col>33</xdr:col>
      <xdr:colOff>762000</xdr:colOff>
      <xdr:row>6</xdr:row>
      <xdr:rowOff>0</xdr:rowOff>
    </xdr:to>
    <xdr:sp macro="" textlink="">
      <xdr:nvSpPr>
        <xdr:cNvPr id="160" name="Freeform: Shape 159">
          <a:extLst>
            <a:ext uri="{FF2B5EF4-FFF2-40B4-BE49-F238E27FC236}">
              <a16:creationId xmlns:a16="http://schemas.microsoft.com/office/drawing/2014/main" id="{2C5393C5-074D-ABC9-B168-488BC09F707A}"/>
            </a:ext>
          </a:extLst>
        </xdr:cNvPr>
        <xdr:cNvSpPr/>
      </xdr:nvSpPr>
      <xdr:spPr>
        <a:xfrm>
          <a:off x="22775333" y="486834"/>
          <a:ext cx="1100667" cy="656166"/>
        </a:xfrm>
        <a:custGeom>
          <a:avLst/>
          <a:gdLst>
            <a:gd name="connsiteX0" fmla="*/ 634624 w 1678681"/>
            <a:gd name="connsiteY0" fmla="*/ 1 h 423083"/>
            <a:gd name="connsiteX1" fmla="*/ 591130 w 1678681"/>
            <a:gd name="connsiteY1" fmla="*/ 125113 h 423083"/>
            <a:gd name="connsiteX2" fmla="*/ 450379 w 1678681"/>
            <a:gd name="connsiteY2" fmla="*/ 125113 h 423083"/>
            <a:gd name="connsiteX3" fmla="*/ 564250 w 1678681"/>
            <a:gd name="connsiteY3" fmla="*/ 202435 h 423083"/>
            <a:gd name="connsiteX4" fmla="*/ 520755 w 1678681"/>
            <a:gd name="connsiteY4" fmla="*/ 327547 h 423083"/>
            <a:gd name="connsiteX5" fmla="*/ 634624 w 1678681"/>
            <a:gd name="connsiteY5" fmla="*/ 250223 h 423083"/>
            <a:gd name="connsiteX6" fmla="*/ 748493 w 1678681"/>
            <a:gd name="connsiteY6" fmla="*/ 327547 h 423083"/>
            <a:gd name="connsiteX7" fmla="*/ 704998 w 1678681"/>
            <a:gd name="connsiteY7" fmla="*/ 202435 h 423083"/>
            <a:gd name="connsiteX8" fmla="*/ 818869 w 1678681"/>
            <a:gd name="connsiteY8" fmla="*/ 125113 h 423083"/>
            <a:gd name="connsiteX9" fmla="*/ 678118 w 1678681"/>
            <a:gd name="connsiteY9" fmla="*/ 125113 h 423083"/>
            <a:gd name="connsiteX10" fmla="*/ 225190 w 1678681"/>
            <a:gd name="connsiteY10" fmla="*/ 1 h 423083"/>
            <a:gd name="connsiteX11" fmla="*/ 181696 w 1678681"/>
            <a:gd name="connsiteY11" fmla="*/ 125113 h 423083"/>
            <a:gd name="connsiteX12" fmla="*/ 40945 w 1678681"/>
            <a:gd name="connsiteY12" fmla="*/ 125113 h 423083"/>
            <a:gd name="connsiteX13" fmla="*/ 154816 w 1678681"/>
            <a:gd name="connsiteY13" fmla="*/ 202435 h 423083"/>
            <a:gd name="connsiteX14" fmla="*/ 111321 w 1678681"/>
            <a:gd name="connsiteY14" fmla="*/ 327547 h 423083"/>
            <a:gd name="connsiteX15" fmla="*/ 225190 w 1678681"/>
            <a:gd name="connsiteY15" fmla="*/ 250223 h 423083"/>
            <a:gd name="connsiteX16" fmla="*/ 339059 w 1678681"/>
            <a:gd name="connsiteY16" fmla="*/ 327547 h 423083"/>
            <a:gd name="connsiteX17" fmla="*/ 295564 w 1678681"/>
            <a:gd name="connsiteY17" fmla="*/ 202435 h 423083"/>
            <a:gd name="connsiteX18" fmla="*/ 409435 w 1678681"/>
            <a:gd name="connsiteY18" fmla="*/ 125113 h 423083"/>
            <a:gd name="connsiteX19" fmla="*/ 268684 w 1678681"/>
            <a:gd name="connsiteY19" fmla="*/ 125113 h 423083"/>
            <a:gd name="connsiteX20" fmla="*/ 1494436 w 1678681"/>
            <a:gd name="connsiteY20" fmla="*/ 0 h 423083"/>
            <a:gd name="connsiteX21" fmla="*/ 1608166 w 1678681"/>
            <a:gd name="connsiteY21" fmla="*/ 0 h 423083"/>
            <a:gd name="connsiteX22" fmla="*/ 1678681 w 1678681"/>
            <a:gd name="connsiteY22" fmla="*/ 70515 h 423083"/>
            <a:gd name="connsiteX23" fmla="*/ 1678681 w 1678681"/>
            <a:gd name="connsiteY23" fmla="*/ 125112 h 423083"/>
            <a:gd name="connsiteX24" fmla="*/ 1537930 w 1678681"/>
            <a:gd name="connsiteY24" fmla="*/ 125112 h 423083"/>
            <a:gd name="connsiteX25" fmla="*/ 70515 w 1678681"/>
            <a:gd name="connsiteY25" fmla="*/ 0 h 423083"/>
            <a:gd name="connsiteX26" fmla="*/ 1044058 w 1678681"/>
            <a:gd name="connsiteY26" fmla="*/ 0 h 423083"/>
            <a:gd name="connsiteX27" fmla="*/ 1000564 w 1678681"/>
            <a:gd name="connsiteY27" fmla="*/ 125112 h 423083"/>
            <a:gd name="connsiteX28" fmla="*/ 859813 w 1678681"/>
            <a:gd name="connsiteY28" fmla="*/ 125112 h 423083"/>
            <a:gd name="connsiteX29" fmla="*/ 973684 w 1678681"/>
            <a:gd name="connsiteY29" fmla="*/ 202434 h 423083"/>
            <a:gd name="connsiteX30" fmla="*/ 930189 w 1678681"/>
            <a:gd name="connsiteY30" fmla="*/ 327546 h 423083"/>
            <a:gd name="connsiteX31" fmla="*/ 1044058 w 1678681"/>
            <a:gd name="connsiteY31" fmla="*/ 250222 h 423083"/>
            <a:gd name="connsiteX32" fmla="*/ 1157927 w 1678681"/>
            <a:gd name="connsiteY32" fmla="*/ 327546 h 423083"/>
            <a:gd name="connsiteX33" fmla="*/ 1114432 w 1678681"/>
            <a:gd name="connsiteY33" fmla="*/ 202434 h 423083"/>
            <a:gd name="connsiteX34" fmla="*/ 1228303 w 1678681"/>
            <a:gd name="connsiteY34" fmla="*/ 125112 h 423083"/>
            <a:gd name="connsiteX35" fmla="*/ 1087552 w 1678681"/>
            <a:gd name="connsiteY35" fmla="*/ 125112 h 423083"/>
            <a:gd name="connsiteX36" fmla="*/ 1044058 w 1678681"/>
            <a:gd name="connsiteY36" fmla="*/ 0 h 423083"/>
            <a:gd name="connsiteX37" fmla="*/ 1494436 w 1678681"/>
            <a:gd name="connsiteY37" fmla="*/ 0 h 423083"/>
            <a:gd name="connsiteX38" fmla="*/ 1450942 w 1678681"/>
            <a:gd name="connsiteY38" fmla="*/ 125112 h 423083"/>
            <a:gd name="connsiteX39" fmla="*/ 1310191 w 1678681"/>
            <a:gd name="connsiteY39" fmla="*/ 125112 h 423083"/>
            <a:gd name="connsiteX40" fmla="*/ 1424062 w 1678681"/>
            <a:gd name="connsiteY40" fmla="*/ 202434 h 423083"/>
            <a:gd name="connsiteX41" fmla="*/ 1380567 w 1678681"/>
            <a:gd name="connsiteY41" fmla="*/ 327546 h 423083"/>
            <a:gd name="connsiteX42" fmla="*/ 1494436 w 1678681"/>
            <a:gd name="connsiteY42" fmla="*/ 250222 h 423083"/>
            <a:gd name="connsiteX43" fmla="*/ 1608305 w 1678681"/>
            <a:gd name="connsiteY43" fmla="*/ 327546 h 423083"/>
            <a:gd name="connsiteX44" fmla="*/ 1564810 w 1678681"/>
            <a:gd name="connsiteY44" fmla="*/ 202434 h 423083"/>
            <a:gd name="connsiteX45" fmla="*/ 1678681 w 1678681"/>
            <a:gd name="connsiteY45" fmla="*/ 125112 h 423083"/>
            <a:gd name="connsiteX46" fmla="*/ 1678681 w 1678681"/>
            <a:gd name="connsiteY46" fmla="*/ 352568 h 423083"/>
            <a:gd name="connsiteX47" fmla="*/ 1608166 w 1678681"/>
            <a:gd name="connsiteY47" fmla="*/ 423083 h 423083"/>
            <a:gd name="connsiteX48" fmla="*/ 70515 w 1678681"/>
            <a:gd name="connsiteY48" fmla="*/ 423083 h 423083"/>
            <a:gd name="connsiteX49" fmla="*/ 0 w 1678681"/>
            <a:gd name="connsiteY49" fmla="*/ 352568 h 423083"/>
            <a:gd name="connsiteX50" fmla="*/ 0 w 1678681"/>
            <a:gd name="connsiteY50" fmla="*/ 70515 h 423083"/>
            <a:gd name="connsiteX51" fmla="*/ 70515 w 1678681"/>
            <a:gd name="connsiteY51" fmla="*/ 0 h 4230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Lst>
          <a:rect l="l" t="t" r="r" b="b"/>
          <a:pathLst>
            <a:path w="1678681" h="423083">
              <a:moveTo>
                <a:pt x="634624" y="1"/>
              </a:moveTo>
              <a:lnTo>
                <a:pt x="591130" y="125113"/>
              </a:lnTo>
              <a:lnTo>
                <a:pt x="450379" y="125113"/>
              </a:lnTo>
              <a:lnTo>
                <a:pt x="564250" y="202435"/>
              </a:lnTo>
              <a:lnTo>
                <a:pt x="520755" y="327547"/>
              </a:lnTo>
              <a:lnTo>
                <a:pt x="634624" y="250223"/>
              </a:lnTo>
              <a:lnTo>
                <a:pt x="748493" y="327547"/>
              </a:lnTo>
              <a:lnTo>
                <a:pt x="704998" y="202435"/>
              </a:lnTo>
              <a:lnTo>
                <a:pt x="818869" y="125113"/>
              </a:lnTo>
              <a:lnTo>
                <a:pt x="678118" y="125113"/>
              </a:lnTo>
              <a:close/>
              <a:moveTo>
                <a:pt x="225190" y="1"/>
              </a:moveTo>
              <a:lnTo>
                <a:pt x="181696" y="125113"/>
              </a:lnTo>
              <a:lnTo>
                <a:pt x="40945" y="125113"/>
              </a:lnTo>
              <a:lnTo>
                <a:pt x="154816" y="202435"/>
              </a:lnTo>
              <a:lnTo>
                <a:pt x="111321" y="327547"/>
              </a:lnTo>
              <a:lnTo>
                <a:pt x="225190" y="250223"/>
              </a:lnTo>
              <a:lnTo>
                <a:pt x="339059" y="327547"/>
              </a:lnTo>
              <a:lnTo>
                <a:pt x="295564" y="202435"/>
              </a:lnTo>
              <a:lnTo>
                <a:pt x="409435" y="125113"/>
              </a:lnTo>
              <a:lnTo>
                <a:pt x="268684" y="125113"/>
              </a:lnTo>
              <a:close/>
              <a:moveTo>
                <a:pt x="1494436" y="0"/>
              </a:moveTo>
              <a:lnTo>
                <a:pt x="1608166" y="0"/>
              </a:lnTo>
              <a:cubicBezTo>
                <a:pt x="1647110" y="0"/>
                <a:pt x="1678681" y="31571"/>
                <a:pt x="1678681" y="70515"/>
              </a:cubicBezTo>
              <a:lnTo>
                <a:pt x="1678681" y="125112"/>
              </a:lnTo>
              <a:lnTo>
                <a:pt x="1537930" y="125112"/>
              </a:lnTo>
              <a:close/>
              <a:moveTo>
                <a:pt x="70515" y="0"/>
              </a:moveTo>
              <a:lnTo>
                <a:pt x="1044058" y="0"/>
              </a:lnTo>
              <a:lnTo>
                <a:pt x="1000564" y="125112"/>
              </a:lnTo>
              <a:lnTo>
                <a:pt x="859813" y="125112"/>
              </a:lnTo>
              <a:lnTo>
                <a:pt x="973684" y="202434"/>
              </a:lnTo>
              <a:lnTo>
                <a:pt x="930189" y="327546"/>
              </a:lnTo>
              <a:lnTo>
                <a:pt x="1044058" y="250222"/>
              </a:lnTo>
              <a:lnTo>
                <a:pt x="1157927" y="327546"/>
              </a:lnTo>
              <a:lnTo>
                <a:pt x="1114432" y="202434"/>
              </a:lnTo>
              <a:lnTo>
                <a:pt x="1228303" y="125112"/>
              </a:lnTo>
              <a:lnTo>
                <a:pt x="1087552" y="125112"/>
              </a:lnTo>
              <a:lnTo>
                <a:pt x="1044058" y="0"/>
              </a:lnTo>
              <a:lnTo>
                <a:pt x="1494436" y="0"/>
              </a:lnTo>
              <a:lnTo>
                <a:pt x="1450942" y="125112"/>
              </a:lnTo>
              <a:lnTo>
                <a:pt x="1310191" y="125112"/>
              </a:lnTo>
              <a:lnTo>
                <a:pt x="1424062" y="202434"/>
              </a:lnTo>
              <a:lnTo>
                <a:pt x="1380567" y="327546"/>
              </a:lnTo>
              <a:lnTo>
                <a:pt x="1494436" y="250222"/>
              </a:lnTo>
              <a:lnTo>
                <a:pt x="1608305" y="327546"/>
              </a:lnTo>
              <a:lnTo>
                <a:pt x="1564810" y="202434"/>
              </a:lnTo>
              <a:lnTo>
                <a:pt x="1678681" y="125112"/>
              </a:lnTo>
              <a:lnTo>
                <a:pt x="1678681" y="352568"/>
              </a:lnTo>
              <a:cubicBezTo>
                <a:pt x="1678681" y="391512"/>
                <a:pt x="1647110" y="423083"/>
                <a:pt x="1608166" y="423083"/>
              </a:cubicBezTo>
              <a:lnTo>
                <a:pt x="70515" y="423083"/>
              </a:lnTo>
              <a:cubicBezTo>
                <a:pt x="31571" y="423083"/>
                <a:pt x="0" y="391512"/>
                <a:pt x="0" y="352568"/>
              </a:cubicBezTo>
              <a:lnTo>
                <a:pt x="0" y="70515"/>
              </a:lnTo>
              <a:cubicBezTo>
                <a:pt x="0" y="31571"/>
                <a:pt x="31571" y="0"/>
                <a:pt x="70515" y="0"/>
              </a:cubicBez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211667</xdr:colOff>
      <xdr:row>24</xdr:row>
      <xdr:rowOff>80362</xdr:rowOff>
    </xdr:from>
    <xdr:to>
      <xdr:col>3</xdr:col>
      <xdr:colOff>613832</xdr:colOff>
      <xdr:row>34</xdr:row>
      <xdr:rowOff>148167</xdr:rowOff>
    </xdr:to>
    <xdr:graphicFrame macro="">
      <xdr:nvGraphicFramePr>
        <xdr:cNvPr id="162" name="Chart 161">
          <a:extLst>
            <a:ext uri="{FF2B5EF4-FFF2-40B4-BE49-F238E27FC236}">
              <a16:creationId xmlns:a16="http://schemas.microsoft.com/office/drawing/2014/main" id="{2E77FBEF-2FA2-4D1F-9FA7-D608D1A22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529166</xdr:colOff>
      <xdr:row>24</xdr:row>
      <xdr:rowOff>63500</xdr:rowOff>
    </xdr:from>
    <xdr:to>
      <xdr:col>11</xdr:col>
      <xdr:colOff>42334</xdr:colOff>
      <xdr:row>35</xdr:row>
      <xdr:rowOff>105833</xdr:rowOff>
    </xdr:to>
    <xdr:graphicFrame macro="">
      <xdr:nvGraphicFramePr>
        <xdr:cNvPr id="163" name="Chart 162">
          <a:extLst>
            <a:ext uri="{FF2B5EF4-FFF2-40B4-BE49-F238E27FC236}">
              <a16:creationId xmlns:a16="http://schemas.microsoft.com/office/drawing/2014/main" id="{96326749-2BD7-4139-8008-928A75590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xdr:col>
      <xdr:colOff>550334</xdr:colOff>
      <xdr:row>27</xdr:row>
      <xdr:rowOff>6626</xdr:rowOff>
    </xdr:from>
    <xdr:to>
      <xdr:col>5</xdr:col>
      <xdr:colOff>423335</xdr:colOff>
      <xdr:row>32</xdr:row>
      <xdr:rowOff>46769</xdr:rowOff>
    </xdr:to>
    <xdr:pic>
      <xdr:nvPicPr>
        <xdr:cNvPr id="173" name="Graphic 172" descr="Female Profile with solid fill">
          <a:extLst>
            <a:ext uri="{FF2B5EF4-FFF2-40B4-BE49-F238E27FC236}">
              <a16:creationId xmlns:a16="http://schemas.microsoft.com/office/drawing/2014/main" id="{6AEADB42-4926-15A2-02FE-1A4FADF9715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518834" y="5150126"/>
          <a:ext cx="1185334" cy="992643"/>
        </a:xfrm>
        <a:prstGeom prst="rect">
          <a:avLst/>
        </a:prstGeom>
      </xdr:spPr>
    </xdr:pic>
    <xdr:clientData/>
  </xdr:twoCellAnchor>
  <xdr:twoCellAnchor editAs="oneCell">
    <xdr:from>
      <xdr:col>6</xdr:col>
      <xdr:colOff>190500</xdr:colOff>
      <xdr:row>26</xdr:row>
      <xdr:rowOff>146770</xdr:rowOff>
    </xdr:from>
    <xdr:to>
      <xdr:col>8</xdr:col>
      <xdr:colOff>58115</xdr:colOff>
      <xdr:row>32</xdr:row>
      <xdr:rowOff>137647</xdr:rowOff>
    </xdr:to>
    <xdr:pic>
      <xdr:nvPicPr>
        <xdr:cNvPr id="175" name="Graphic 174" descr="Male profile with solid fill">
          <a:extLst>
            <a:ext uri="{FF2B5EF4-FFF2-40B4-BE49-F238E27FC236}">
              <a16:creationId xmlns:a16="http://schemas.microsoft.com/office/drawing/2014/main" id="{C6A32963-79E4-AA2E-4B70-5D35EACEF5C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127500" y="5099770"/>
          <a:ext cx="1179948" cy="1133877"/>
        </a:xfrm>
        <a:prstGeom prst="rect">
          <a:avLst/>
        </a:prstGeom>
      </xdr:spPr>
    </xdr:pic>
    <xdr:clientData/>
  </xdr:twoCellAnchor>
  <xdr:oneCellAnchor>
    <xdr:from>
      <xdr:col>0</xdr:col>
      <xdr:colOff>537702</xdr:colOff>
      <xdr:row>14</xdr:row>
      <xdr:rowOff>168992</xdr:rowOff>
    </xdr:from>
    <xdr:ext cx="184731" cy="264560"/>
    <xdr:sp macro="" textlink="">
      <xdr:nvSpPr>
        <xdr:cNvPr id="176" name="TextBox 175">
          <a:extLst>
            <a:ext uri="{FF2B5EF4-FFF2-40B4-BE49-F238E27FC236}">
              <a16:creationId xmlns:a16="http://schemas.microsoft.com/office/drawing/2014/main" id="{9168116E-420C-994B-0CF2-9FDC844BF8C9}"/>
            </a:ext>
          </a:extLst>
        </xdr:cNvPr>
        <xdr:cNvSpPr txBox="1"/>
      </xdr:nvSpPr>
      <xdr:spPr>
        <a:xfrm>
          <a:off x="537702" y="2749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470788</xdr:colOff>
      <xdr:row>16</xdr:row>
      <xdr:rowOff>51893</xdr:rowOff>
    </xdr:from>
    <xdr:to>
      <xdr:col>8</xdr:col>
      <xdr:colOff>393974</xdr:colOff>
      <xdr:row>18</xdr:row>
      <xdr:rowOff>36529</xdr:rowOff>
    </xdr:to>
    <xdr:sp macro="" textlink="">
      <xdr:nvSpPr>
        <xdr:cNvPr id="177" name="TextBox 176">
          <a:extLst>
            <a:ext uri="{FF2B5EF4-FFF2-40B4-BE49-F238E27FC236}">
              <a16:creationId xmlns:a16="http://schemas.microsoft.com/office/drawing/2014/main" id="{AAD229AB-8557-5CE0-7745-0994AA6C1C8A}"/>
            </a:ext>
          </a:extLst>
        </xdr:cNvPr>
        <xdr:cNvSpPr txBox="1"/>
      </xdr:nvSpPr>
      <xdr:spPr>
        <a:xfrm>
          <a:off x="470788" y="3099893"/>
          <a:ext cx="5172519" cy="365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2">
                  <a:lumMod val="50000"/>
                </a:schemeClr>
              </a:solidFill>
              <a:latin typeface="+mj-lt"/>
            </a:rPr>
            <a:t>Total Employees by</a:t>
          </a:r>
          <a:r>
            <a:rPr lang="en-IN" sz="2000" b="1" baseline="0">
              <a:solidFill>
                <a:schemeClr val="accent2">
                  <a:lumMod val="50000"/>
                </a:schemeClr>
              </a:solidFill>
              <a:latin typeface="+mj-lt"/>
            </a:rPr>
            <a:t> Gender</a:t>
          </a:r>
          <a:endParaRPr lang="en-IN" sz="2000" b="1">
            <a:solidFill>
              <a:schemeClr val="accent2">
                <a:lumMod val="50000"/>
              </a:schemeClr>
            </a:solidFill>
            <a:latin typeface="+mj-lt"/>
          </a:endParaRPr>
        </a:p>
      </xdr:txBody>
    </xdr:sp>
    <xdr:clientData/>
  </xdr:twoCellAnchor>
  <xdr:twoCellAnchor editAs="oneCell">
    <xdr:from>
      <xdr:col>3</xdr:col>
      <xdr:colOff>550334</xdr:colOff>
      <xdr:row>22</xdr:row>
      <xdr:rowOff>21168</xdr:rowOff>
    </xdr:from>
    <xdr:to>
      <xdr:col>8</xdr:col>
      <xdr:colOff>190501</xdr:colOff>
      <xdr:row>25</xdr:row>
      <xdr:rowOff>42333</xdr:rowOff>
    </xdr:to>
    <mc:AlternateContent xmlns:mc="http://schemas.openxmlformats.org/markup-compatibility/2006" xmlns:a14="http://schemas.microsoft.com/office/drawing/2010/main">
      <mc:Choice Requires="a14">
        <xdr:graphicFrame macro="">
          <xdr:nvGraphicFramePr>
            <xdr:cNvPr id="178" name="Gender 2">
              <a:extLst>
                <a:ext uri="{FF2B5EF4-FFF2-40B4-BE49-F238E27FC236}">
                  <a16:creationId xmlns:a16="http://schemas.microsoft.com/office/drawing/2014/main" id="{D301B348-E4D5-4EAF-8BCC-1D425AAB4F7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518834" y="4212168"/>
              <a:ext cx="2921000" cy="592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169332</xdr:colOff>
      <xdr:row>20</xdr:row>
      <xdr:rowOff>84667</xdr:rowOff>
    </xdr:from>
    <xdr:to>
      <xdr:col>25</xdr:col>
      <xdr:colOff>63499</xdr:colOff>
      <xdr:row>36</xdr:row>
      <xdr:rowOff>148167</xdr:rowOff>
    </xdr:to>
    <xdr:graphicFrame macro="">
      <xdr:nvGraphicFramePr>
        <xdr:cNvPr id="179" name="Chart 178">
          <a:extLst>
            <a:ext uri="{FF2B5EF4-FFF2-40B4-BE49-F238E27FC236}">
              <a16:creationId xmlns:a16="http://schemas.microsoft.com/office/drawing/2014/main" id="{3A059C64-AD38-45F6-B6A4-79915BAB8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157043</xdr:colOff>
      <xdr:row>16</xdr:row>
      <xdr:rowOff>105833</xdr:rowOff>
    </xdr:from>
    <xdr:to>
      <xdr:col>19</xdr:col>
      <xdr:colOff>64865</xdr:colOff>
      <xdr:row>18</xdr:row>
      <xdr:rowOff>165238</xdr:rowOff>
    </xdr:to>
    <xdr:sp macro="" textlink="">
      <xdr:nvSpPr>
        <xdr:cNvPr id="180" name="TextBox 179">
          <a:extLst>
            <a:ext uri="{FF2B5EF4-FFF2-40B4-BE49-F238E27FC236}">
              <a16:creationId xmlns:a16="http://schemas.microsoft.com/office/drawing/2014/main" id="{80CB93E6-07B9-FDDC-D67B-466496F28394}"/>
            </a:ext>
          </a:extLst>
        </xdr:cNvPr>
        <xdr:cNvSpPr txBox="1"/>
      </xdr:nvSpPr>
      <xdr:spPr>
        <a:xfrm>
          <a:off x="8031043" y="3153833"/>
          <a:ext cx="4479822" cy="440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2">
                  <a:lumMod val="50000"/>
                </a:schemeClr>
              </a:solidFill>
              <a:latin typeface="+mj-lt"/>
            </a:rPr>
            <a:t>Education Wisw Attrition</a:t>
          </a:r>
        </a:p>
      </xdr:txBody>
    </xdr:sp>
    <xdr:clientData/>
  </xdr:twoCellAnchor>
  <xdr:twoCellAnchor>
    <xdr:from>
      <xdr:col>26</xdr:col>
      <xdr:colOff>42334</xdr:colOff>
      <xdr:row>19</xdr:row>
      <xdr:rowOff>63500</xdr:rowOff>
    </xdr:from>
    <xdr:to>
      <xdr:col>35</xdr:col>
      <xdr:colOff>381000</xdr:colOff>
      <xdr:row>36</xdr:row>
      <xdr:rowOff>127000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4615636D-24B5-45E0-93DA-B8779EC4E3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6863484" y="3683000"/>
              <a:ext cx="8053916" cy="3302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651047</xdr:colOff>
      <xdr:row>16</xdr:row>
      <xdr:rowOff>63500</xdr:rowOff>
    </xdr:from>
    <xdr:to>
      <xdr:col>30</xdr:col>
      <xdr:colOff>465667</xdr:colOff>
      <xdr:row>19</xdr:row>
      <xdr:rowOff>15361</xdr:rowOff>
    </xdr:to>
    <xdr:sp macro="" textlink="">
      <xdr:nvSpPr>
        <xdr:cNvPr id="7" name="TextBox 6">
          <a:extLst>
            <a:ext uri="{FF2B5EF4-FFF2-40B4-BE49-F238E27FC236}">
              <a16:creationId xmlns:a16="http://schemas.microsoft.com/office/drawing/2014/main" id="{BE31FD89-1DA9-9CB4-F19C-8DF6EC33387D}"/>
            </a:ext>
          </a:extLst>
        </xdr:cNvPr>
        <xdr:cNvSpPr txBox="1"/>
      </xdr:nvSpPr>
      <xdr:spPr>
        <a:xfrm>
          <a:off x="17034047" y="3111500"/>
          <a:ext cx="3942120" cy="523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chemeClr val="accent2">
                  <a:lumMod val="50000"/>
                </a:schemeClr>
              </a:solidFill>
              <a:latin typeface="+mj-lt"/>
            </a:rPr>
            <a:t>Attririon</a:t>
          </a:r>
          <a:r>
            <a:rPr lang="en-IN" sz="2400" b="1" baseline="0">
              <a:solidFill>
                <a:schemeClr val="accent2">
                  <a:lumMod val="50000"/>
                </a:schemeClr>
              </a:solidFill>
              <a:latin typeface="+mj-lt"/>
            </a:rPr>
            <a:t> by Job Role</a:t>
          </a:r>
          <a:endParaRPr lang="en-IN" sz="2400" b="1">
            <a:solidFill>
              <a:schemeClr val="accent2">
                <a:lumMod val="50000"/>
              </a:schemeClr>
            </a:solidFill>
            <a:latin typeface="+mj-lt"/>
          </a:endParaRPr>
        </a:p>
      </xdr:txBody>
    </xdr:sp>
    <xdr:clientData/>
  </xdr:twoCellAnchor>
  <xdr:twoCellAnchor>
    <xdr:from>
      <xdr:col>0</xdr:col>
      <xdr:colOff>464985</xdr:colOff>
      <xdr:row>38</xdr:row>
      <xdr:rowOff>0</xdr:rowOff>
    </xdr:from>
    <xdr:to>
      <xdr:col>7</xdr:col>
      <xdr:colOff>203815</xdr:colOff>
      <xdr:row>41</xdr:row>
      <xdr:rowOff>36530</xdr:rowOff>
    </xdr:to>
    <xdr:sp macro="" textlink="">
      <xdr:nvSpPr>
        <xdr:cNvPr id="9" name="TextBox 8">
          <a:extLst>
            <a:ext uri="{FF2B5EF4-FFF2-40B4-BE49-F238E27FC236}">
              <a16:creationId xmlns:a16="http://schemas.microsoft.com/office/drawing/2014/main" id="{B62B81B7-99D3-A039-703A-135BD3BC68FA}"/>
            </a:ext>
          </a:extLst>
        </xdr:cNvPr>
        <xdr:cNvSpPr txBox="1"/>
      </xdr:nvSpPr>
      <xdr:spPr>
        <a:xfrm>
          <a:off x="464985" y="7239000"/>
          <a:ext cx="4331997" cy="608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2">
                  <a:lumMod val="50000"/>
                </a:schemeClr>
              </a:solidFill>
              <a:latin typeface="+mj-lt"/>
            </a:rPr>
            <a:t>Department Wise Attrition</a:t>
          </a:r>
        </a:p>
      </xdr:txBody>
    </xdr:sp>
    <xdr:clientData/>
  </xdr:twoCellAnchor>
  <xdr:twoCellAnchor>
    <xdr:from>
      <xdr:col>11</xdr:col>
      <xdr:colOff>508001</xdr:colOff>
      <xdr:row>38</xdr:row>
      <xdr:rowOff>0</xdr:rowOff>
    </xdr:from>
    <xdr:to>
      <xdr:col>21</xdr:col>
      <xdr:colOff>190501</xdr:colOff>
      <xdr:row>58</xdr:row>
      <xdr:rowOff>21167</xdr:rowOff>
    </xdr:to>
    <xdr:graphicFrame macro="">
      <xdr:nvGraphicFramePr>
        <xdr:cNvPr id="10" name="Chart 9">
          <a:extLst>
            <a:ext uri="{FF2B5EF4-FFF2-40B4-BE49-F238E27FC236}">
              <a16:creationId xmlns:a16="http://schemas.microsoft.com/office/drawing/2014/main" id="{0C0769C9-7E10-4F6C-AEB8-7A951B0EF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324329</xdr:colOff>
      <xdr:row>37</xdr:row>
      <xdr:rowOff>148167</xdr:rowOff>
    </xdr:from>
    <xdr:to>
      <xdr:col>17</xdr:col>
      <xdr:colOff>68962</xdr:colOff>
      <xdr:row>40</xdr:row>
      <xdr:rowOff>21167</xdr:rowOff>
    </xdr:to>
    <xdr:sp macro="" textlink="">
      <xdr:nvSpPr>
        <xdr:cNvPr id="11" name="TextBox 10">
          <a:extLst>
            <a:ext uri="{FF2B5EF4-FFF2-40B4-BE49-F238E27FC236}">
              <a16:creationId xmlns:a16="http://schemas.microsoft.com/office/drawing/2014/main" id="{0AFACD72-B034-16C2-225D-BDCDB2705D54}"/>
            </a:ext>
          </a:extLst>
        </xdr:cNvPr>
        <xdr:cNvSpPr txBox="1"/>
      </xdr:nvSpPr>
      <xdr:spPr>
        <a:xfrm>
          <a:off x="8198329" y="7196667"/>
          <a:ext cx="30043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2">
                  <a:lumMod val="50000"/>
                </a:schemeClr>
              </a:solidFill>
            </a:rPr>
            <a:t>Attrition Age Group</a:t>
          </a:r>
        </a:p>
      </xdr:txBody>
    </xdr:sp>
    <xdr:clientData/>
  </xdr:twoCellAnchor>
  <xdr:twoCellAnchor editAs="oneCell">
    <xdr:from>
      <xdr:col>36</xdr:col>
      <xdr:colOff>317500</xdr:colOff>
      <xdr:row>30</xdr:row>
      <xdr:rowOff>42334</xdr:rowOff>
    </xdr:from>
    <xdr:to>
      <xdr:col>37</xdr:col>
      <xdr:colOff>144992</xdr:colOff>
      <xdr:row>31</xdr:row>
      <xdr:rowOff>61384</xdr:rowOff>
    </xdr:to>
    <xdr:pic>
      <xdr:nvPicPr>
        <xdr:cNvPr id="13" name="Picture 12">
          <a:extLst>
            <a:ext uri="{FF2B5EF4-FFF2-40B4-BE49-F238E27FC236}">
              <a16:creationId xmlns:a16="http://schemas.microsoft.com/office/drawing/2014/main" id="{937D0B17-29DC-04FD-4BF7-FC9C2BCFF781}"/>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26035000" y="5757334"/>
          <a:ext cx="6953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211667</xdr:colOff>
      <xdr:row>42</xdr:row>
      <xdr:rowOff>42332</xdr:rowOff>
    </xdr:from>
    <xdr:to>
      <xdr:col>29</xdr:col>
      <xdr:colOff>42333</xdr:colOff>
      <xdr:row>58</xdr:row>
      <xdr:rowOff>-1</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68917D5E-4E16-4528-8835-136ADFC5BB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4442017" y="8043332"/>
              <a:ext cx="4993216" cy="30056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480098</xdr:colOff>
      <xdr:row>38</xdr:row>
      <xdr:rowOff>0</xdr:rowOff>
    </xdr:from>
    <xdr:to>
      <xdr:col>28</xdr:col>
      <xdr:colOff>571500</xdr:colOff>
      <xdr:row>41</xdr:row>
      <xdr:rowOff>0</xdr:rowOff>
    </xdr:to>
    <xdr:sp macro="" textlink="">
      <xdr:nvSpPr>
        <xdr:cNvPr id="15" name="TextBox 14">
          <a:extLst>
            <a:ext uri="{FF2B5EF4-FFF2-40B4-BE49-F238E27FC236}">
              <a16:creationId xmlns:a16="http://schemas.microsoft.com/office/drawing/2014/main" id="{46D7248B-D191-956E-305C-5DEB0E946E0A}"/>
            </a:ext>
          </a:extLst>
        </xdr:cNvPr>
        <xdr:cNvSpPr txBox="1"/>
      </xdr:nvSpPr>
      <xdr:spPr>
        <a:xfrm>
          <a:off x="14894598" y="7239000"/>
          <a:ext cx="445173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2">
                  <a:lumMod val="50000"/>
                </a:schemeClr>
              </a:solidFill>
            </a:rPr>
            <a:t>Attirition by M</a:t>
          </a:r>
          <a:r>
            <a:rPr lang="en-IN" sz="2400" b="1" baseline="0">
              <a:solidFill>
                <a:schemeClr val="accent2">
                  <a:lumMod val="50000"/>
                </a:schemeClr>
              </a:solidFill>
            </a:rPr>
            <a:t>arital Status</a:t>
          </a:r>
          <a:endParaRPr lang="en-IN" sz="2400" b="1">
            <a:solidFill>
              <a:schemeClr val="accent2">
                <a:lumMod val="50000"/>
              </a:schemeClr>
            </a:solidFill>
          </a:endParaRPr>
        </a:p>
      </xdr:txBody>
    </xdr:sp>
    <xdr:clientData/>
  </xdr:twoCellAnchor>
  <xdr:twoCellAnchor editAs="oneCell">
    <xdr:from>
      <xdr:col>32</xdr:col>
      <xdr:colOff>846666</xdr:colOff>
      <xdr:row>42</xdr:row>
      <xdr:rowOff>63500</xdr:rowOff>
    </xdr:from>
    <xdr:to>
      <xdr:col>35</xdr:col>
      <xdr:colOff>346170</xdr:colOff>
      <xdr:row>52</xdr:row>
      <xdr:rowOff>84667</xdr:rowOff>
    </xdr:to>
    <mc:AlternateContent xmlns:mc="http://schemas.openxmlformats.org/markup-compatibility/2006" xmlns:a14="http://schemas.microsoft.com/office/drawing/2010/main">
      <mc:Choice Requires="a14">
        <xdr:graphicFrame macro="">
          <xdr:nvGraphicFramePr>
            <xdr:cNvPr id="17" name="Department 1">
              <a:extLst>
                <a:ext uri="{FF2B5EF4-FFF2-40B4-BE49-F238E27FC236}">
                  <a16:creationId xmlns:a16="http://schemas.microsoft.com/office/drawing/2014/main" id="{44CCFE4C-474D-44B9-81F2-EE5288B8DDB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3092833" y="8064500"/>
              <a:ext cx="2103004" cy="1926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677333</xdr:colOff>
      <xdr:row>42</xdr:row>
      <xdr:rowOff>42334</xdr:rowOff>
    </xdr:from>
    <xdr:to>
      <xdr:col>32</xdr:col>
      <xdr:colOff>275166</xdr:colOff>
      <xdr:row>52</xdr:row>
      <xdr:rowOff>105834</xdr:rowOff>
    </xdr:to>
    <mc:AlternateContent xmlns:mc="http://schemas.openxmlformats.org/markup-compatibility/2006" xmlns:a14="http://schemas.microsoft.com/office/drawing/2010/main">
      <mc:Choice Requires="a14">
        <xdr:graphicFrame macro="">
          <xdr:nvGraphicFramePr>
            <xdr:cNvPr id="20" name="Education Field 3">
              <a:extLst>
                <a:ext uri="{FF2B5EF4-FFF2-40B4-BE49-F238E27FC236}">
                  <a16:creationId xmlns:a16="http://schemas.microsoft.com/office/drawing/2014/main" id="{D7D85746-B1CF-4141-BAD1-50A0AFF405B3}"/>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20320000" y="8043334"/>
              <a:ext cx="2201333" cy="196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698499</xdr:colOff>
      <xdr:row>38</xdr:row>
      <xdr:rowOff>127001</xdr:rowOff>
    </xdr:from>
    <xdr:to>
      <xdr:col>31</xdr:col>
      <xdr:colOff>783167</xdr:colOff>
      <xdr:row>40</xdr:row>
      <xdr:rowOff>169333</xdr:rowOff>
    </xdr:to>
    <xdr:sp macro="" textlink="">
      <xdr:nvSpPr>
        <xdr:cNvPr id="21" name="TextBox 20">
          <a:extLst>
            <a:ext uri="{FF2B5EF4-FFF2-40B4-BE49-F238E27FC236}">
              <a16:creationId xmlns:a16="http://schemas.microsoft.com/office/drawing/2014/main" id="{F3FD618B-6A39-8F80-0E40-DF41FA3BFE32}"/>
            </a:ext>
          </a:extLst>
        </xdr:cNvPr>
        <xdr:cNvSpPr txBox="1"/>
      </xdr:nvSpPr>
      <xdr:spPr>
        <a:xfrm>
          <a:off x="20341166" y="7366001"/>
          <a:ext cx="1820334" cy="423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a:solidFill>
                <a:schemeClr val="tx1"/>
              </a:solidFill>
            </a:rPr>
            <a:t>Education</a:t>
          </a:r>
        </a:p>
      </xdr:txBody>
    </xdr:sp>
    <xdr:clientData/>
  </xdr:twoCellAnchor>
  <xdr:oneCellAnchor>
    <xdr:from>
      <xdr:col>29</xdr:col>
      <xdr:colOff>728382</xdr:colOff>
      <xdr:row>31</xdr:row>
      <xdr:rowOff>149412</xdr:rowOff>
    </xdr:from>
    <xdr:ext cx="184731" cy="264560"/>
    <xdr:sp macro="" textlink="">
      <xdr:nvSpPr>
        <xdr:cNvPr id="23" name="TextBox 22">
          <a:extLst>
            <a:ext uri="{FF2B5EF4-FFF2-40B4-BE49-F238E27FC236}">
              <a16:creationId xmlns:a16="http://schemas.microsoft.com/office/drawing/2014/main" id="{09CFFC48-BAFE-03EE-E937-E4247C04B55E}"/>
            </a:ext>
          </a:extLst>
        </xdr:cNvPr>
        <xdr:cNvSpPr txBox="1"/>
      </xdr:nvSpPr>
      <xdr:spPr>
        <a:xfrm>
          <a:off x="20282647" y="59391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32</xdr:col>
      <xdr:colOff>825500</xdr:colOff>
      <xdr:row>38</xdr:row>
      <xdr:rowOff>148168</xdr:rowOff>
    </xdr:from>
    <xdr:to>
      <xdr:col>34</xdr:col>
      <xdr:colOff>825499</xdr:colOff>
      <xdr:row>41</xdr:row>
      <xdr:rowOff>63500</xdr:rowOff>
    </xdr:to>
    <xdr:sp macro="" textlink="">
      <xdr:nvSpPr>
        <xdr:cNvPr id="25" name="TextBox 24">
          <a:extLst>
            <a:ext uri="{FF2B5EF4-FFF2-40B4-BE49-F238E27FC236}">
              <a16:creationId xmlns:a16="http://schemas.microsoft.com/office/drawing/2014/main" id="{593FD0A6-66E0-A449-14E1-6D79C1E95A29}"/>
            </a:ext>
          </a:extLst>
        </xdr:cNvPr>
        <xdr:cNvSpPr txBox="1"/>
      </xdr:nvSpPr>
      <xdr:spPr>
        <a:xfrm>
          <a:off x="23071667" y="7387168"/>
          <a:ext cx="1735665" cy="486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Departmen</a:t>
          </a:r>
          <a:r>
            <a:rPr lang="en-IN" sz="2000" b="1"/>
            <a:t>t</a:t>
          </a:r>
        </a:p>
      </xdr:txBody>
    </xdr:sp>
    <xdr:clientData/>
  </xdr:twoCellAnchor>
  <xdr:twoCellAnchor>
    <xdr:from>
      <xdr:col>0</xdr:col>
      <xdr:colOff>317499</xdr:colOff>
      <xdr:row>41</xdr:row>
      <xdr:rowOff>21167</xdr:rowOff>
    </xdr:from>
    <xdr:to>
      <xdr:col>11</xdr:col>
      <xdr:colOff>126999</xdr:colOff>
      <xdr:row>58</xdr:row>
      <xdr:rowOff>148167</xdr:rowOff>
    </xdr:to>
    <xdr:graphicFrame macro="">
      <xdr:nvGraphicFramePr>
        <xdr:cNvPr id="26" name="Chart 25">
          <a:extLst>
            <a:ext uri="{FF2B5EF4-FFF2-40B4-BE49-F238E27FC236}">
              <a16:creationId xmlns:a16="http://schemas.microsoft.com/office/drawing/2014/main" id="{1907B317-49A3-42E3-AE27-66B2EF824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0.41326</cdr:x>
      <cdr:y>0.49151</cdr:y>
    </cdr:from>
    <cdr:to>
      <cdr:x>0.66986</cdr:x>
      <cdr:y>0.97724</cdr:y>
    </cdr:to>
    <cdr:sp macro="" textlink="GENDER!$B$12">
      <cdr:nvSpPr>
        <cdr:cNvPr id="2" name="TextBox 158">
          <a:extLst xmlns:a="http://schemas.openxmlformats.org/drawingml/2006/main">
            <a:ext uri="{FF2B5EF4-FFF2-40B4-BE49-F238E27FC236}">
              <a16:creationId xmlns:a16="http://schemas.microsoft.com/office/drawing/2014/main" id="{1DEE6A72-3E02-BDE7-A893-B0A80E9F6C7F}"/>
            </a:ext>
          </a:extLst>
        </cdr:cNvPr>
        <cdr:cNvSpPr txBox="1"/>
      </cdr:nvSpPr>
      <cdr:spPr>
        <a:xfrm xmlns:a="http://schemas.openxmlformats.org/drawingml/2006/main">
          <a:off x="979712" y="1029951"/>
          <a:ext cx="608312" cy="101784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356762D-B6C4-4108-9EA2-CF1E2D9AF2C0}" type="TxLink">
            <a:rPr lang="en-US" sz="2000" b="0" i="0" u="none" strike="noStrike">
              <a:solidFill>
                <a:srgbClr val="000000"/>
              </a:solidFill>
              <a:latin typeface="Bodoni MT Black" panose="02070A03080606020203" pitchFamily="18" charset="0"/>
              <a:cs typeface="Calibri"/>
            </a:rPr>
            <a:pPr algn="ctr"/>
            <a:t>166</a:t>
          </a:fld>
          <a:endParaRPr lang="en-IN" sz="2000">
            <a:latin typeface="Bodoni MT Black" panose="02070A03080606020203" pitchFamily="18"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0.4316</cdr:x>
      <cdr:y>0.42032</cdr:y>
    </cdr:from>
    <cdr:to>
      <cdr:x>0.71831</cdr:x>
      <cdr:y>0.52344</cdr:y>
    </cdr:to>
    <cdr:sp macro="" textlink="GENDER!$B$13">
      <cdr:nvSpPr>
        <cdr:cNvPr id="2" name="TextBox 158">
          <a:extLst xmlns:a="http://schemas.openxmlformats.org/drawingml/2006/main">
            <a:ext uri="{FF2B5EF4-FFF2-40B4-BE49-F238E27FC236}">
              <a16:creationId xmlns:a16="http://schemas.microsoft.com/office/drawing/2014/main" id="{1DEE6A72-3E02-BDE7-A893-B0A80E9F6C7F}"/>
            </a:ext>
          </a:extLst>
        </cdr:cNvPr>
        <cdr:cNvSpPr txBox="1"/>
      </cdr:nvSpPr>
      <cdr:spPr>
        <a:xfrm xmlns:a="http://schemas.openxmlformats.org/drawingml/2006/main">
          <a:off x="922692" y="898568"/>
          <a:ext cx="612938" cy="22045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79768608-FF42-4281-9B6D-8AEC625E515B}" type="TxLink">
            <a:rPr lang="en-US" sz="2000" b="0" i="0" u="none" strike="noStrike">
              <a:solidFill>
                <a:srgbClr val="000000"/>
              </a:solidFill>
              <a:latin typeface="Bodoni MT Black" panose="02070A03080606020203" pitchFamily="18" charset="0"/>
              <a:cs typeface="Calibri"/>
            </a:rPr>
            <a:pPr algn="ctr"/>
            <a:t>0</a:t>
          </a:fld>
          <a:endParaRPr lang="en-IN" sz="2000">
            <a:latin typeface="Bodoni MT Black" panose="02070A03080606020203"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ti" refreshedDate="46160.607586226855" createdVersion="8" refreshedVersion="8" minRefreshableVersion="3" recordCount="1470" xr:uid="{49697B3F-7DAA-40F9-AD12-02CB7D2750FB}">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71139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x v="0"/>
    <x v="0"/>
    <x v="0"/>
    <x v="0"/>
    <x v="0"/>
    <s v="Yes"/>
    <s v="Y"/>
    <n v="0"/>
    <n v="-2"/>
    <n v="0"/>
    <x v="0"/>
    <x v="0"/>
    <n v="1"/>
    <n v="1"/>
    <n v="0"/>
    <n v="1102"/>
    <n v="1"/>
    <x v="0"/>
    <n v="1"/>
    <n v="2"/>
    <n v="94"/>
    <n v="3"/>
    <n v="2"/>
    <n v="4"/>
    <n v="5993"/>
    <n v="19479"/>
    <n v="8"/>
    <n v="11"/>
    <n v="3"/>
    <n v="1"/>
    <n v="80"/>
    <n v="0"/>
    <n v="8"/>
    <n v="1"/>
    <n v="6"/>
    <n v="4"/>
    <n v="0"/>
    <n v="5"/>
  </r>
  <r>
    <s v="No"/>
    <s v="Travel_Frequently"/>
    <x v="1"/>
    <s v="Current Employees"/>
    <x v="1"/>
    <x v="0"/>
    <x v="1"/>
    <x v="1"/>
    <x v="1"/>
    <x v="1"/>
    <x v="1"/>
    <s v="No"/>
    <s v="Y"/>
    <n v="3"/>
    <n v="-2"/>
    <n v="0"/>
    <x v="1"/>
    <x v="1"/>
    <m/>
    <n v="0"/>
    <n v="1"/>
    <n v="279"/>
    <n v="8"/>
    <x v="1"/>
    <n v="1"/>
    <n v="3"/>
    <n v="61"/>
    <n v="2"/>
    <n v="2"/>
    <n v="2"/>
    <n v="5130"/>
    <n v="24907"/>
    <n v="1"/>
    <n v="23"/>
    <n v="4"/>
    <n v="4"/>
    <n v="80"/>
    <n v="1"/>
    <n v="10"/>
    <n v="3"/>
    <n v="10"/>
    <n v="7"/>
    <n v="1"/>
    <n v="7"/>
  </r>
  <r>
    <s v="Yes"/>
    <s v="Travel_Rarely"/>
    <x v="0"/>
    <s v="Ex-Employees"/>
    <x v="1"/>
    <x v="1"/>
    <x v="2"/>
    <x v="2"/>
    <x v="1"/>
    <x v="2"/>
    <x v="0"/>
    <s v="Yes"/>
    <s v="Y"/>
    <n v="3"/>
    <n v="-2"/>
    <n v="0"/>
    <x v="2"/>
    <x v="0"/>
    <n v="1"/>
    <n v="1"/>
    <n v="0"/>
    <n v="1373"/>
    <n v="2"/>
    <x v="0"/>
    <n v="1"/>
    <n v="4"/>
    <n v="92"/>
    <n v="2"/>
    <n v="1"/>
    <n v="3"/>
    <n v="2090"/>
    <n v="2396"/>
    <n v="6"/>
    <n v="15"/>
    <n v="3"/>
    <n v="2"/>
    <n v="80"/>
    <n v="0"/>
    <n v="7"/>
    <n v="3"/>
    <n v="0"/>
    <n v="0"/>
    <n v="0"/>
    <n v="0"/>
  </r>
  <r>
    <s v="No"/>
    <s v="Travel_Frequently"/>
    <x v="2"/>
    <s v="Current Employees"/>
    <x v="1"/>
    <x v="0"/>
    <x v="3"/>
    <x v="3"/>
    <x v="0"/>
    <x v="1"/>
    <x v="1"/>
    <s v="Yes"/>
    <s v="Y"/>
    <n v="3"/>
    <n v="-2"/>
    <n v="0"/>
    <x v="3"/>
    <x v="1"/>
    <m/>
    <n v="0"/>
    <n v="1"/>
    <n v="1392"/>
    <n v="3"/>
    <x v="2"/>
    <n v="1"/>
    <n v="4"/>
    <n v="56"/>
    <n v="3"/>
    <n v="1"/>
    <n v="3"/>
    <n v="2909"/>
    <n v="23159"/>
    <n v="1"/>
    <n v="11"/>
    <n v="3"/>
    <n v="3"/>
    <n v="80"/>
    <n v="0"/>
    <n v="8"/>
    <n v="3"/>
    <n v="8"/>
    <n v="7"/>
    <n v="3"/>
    <n v="0"/>
  </r>
  <r>
    <s v="No"/>
    <s v="Travel_Rarely"/>
    <x v="2"/>
    <s v="Current Employees"/>
    <x v="1"/>
    <x v="2"/>
    <x v="4"/>
    <x v="4"/>
    <x v="1"/>
    <x v="2"/>
    <x v="1"/>
    <s v="No"/>
    <s v="Y"/>
    <n v="3"/>
    <n v="-2"/>
    <n v="0"/>
    <x v="4"/>
    <x v="1"/>
    <m/>
    <n v="0"/>
    <n v="1"/>
    <n v="591"/>
    <n v="2"/>
    <x v="1"/>
    <n v="1"/>
    <n v="1"/>
    <n v="40"/>
    <n v="3"/>
    <n v="1"/>
    <n v="2"/>
    <n v="3468"/>
    <n v="16632"/>
    <n v="9"/>
    <n v="12"/>
    <n v="3"/>
    <n v="4"/>
    <n v="80"/>
    <n v="1"/>
    <n v="6"/>
    <n v="3"/>
    <n v="2"/>
    <n v="2"/>
    <n v="2"/>
    <n v="2"/>
  </r>
  <r>
    <s v="No"/>
    <s v="Travel_Frequently"/>
    <x v="2"/>
    <s v="Current Employees"/>
    <x v="1"/>
    <x v="0"/>
    <x v="5"/>
    <x v="5"/>
    <x v="1"/>
    <x v="2"/>
    <x v="0"/>
    <s v="No"/>
    <s v="Y"/>
    <n v="2"/>
    <n v="-2"/>
    <n v="0"/>
    <x v="5"/>
    <x v="1"/>
    <m/>
    <n v="0"/>
    <n v="1"/>
    <n v="1005"/>
    <n v="2"/>
    <x v="0"/>
    <n v="1"/>
    <n v="4"/>
    <n v="79"/>
    <n v="3"/>
    <n v="1"/>
    <n v="2"/>
    <n v="3068"/>
    <n v="11864"/>
    <n v="0"/>
    <n v="13"/>
    <n v="3"/>
    <n v="3"/>
    <n v="80"/>
    <n v="0"/>
    <n v="8"/>
    <n v="2"/>
    <n v="7"/>
    <n v="7"/>
    <n v="3"/>
    <n v="6"/>
  </r>
  <r>
    <s v="No"/>
    <s v="Travel_Rarely"/>
    <x v="3"/>
    <s v="Current Employees"/>
    <x v="1"/>
    <x v="2"/>
    <x v="6"/>
    <x v="6"/>
    <x v="0"/>
    <x v="2"/>
    <x v="1"/>
    <s v="Yes"/>
    <s v="Y"/>
    <n v="3"/>
    <n v="-2"/>
    <n v="0"/>
    <x v="6"/>
    <x v="1"/>
    <m/>
    <n v="0"/>
    <n v="1"/>
    <n v="1324"/>
    <n v="3"/>
    <x v="3"/>
    <n v="1"/>
    <n v="3"/>
    <n v="81"/>
    <n v="4"/>
    <n v="1"/>
    <n v="4"/>
    <n v="2670"/>
    <n v="9964"/>
    <n v="4"/>
    <n v="20"/>
    <n v="4"/>
    <n v="1"/>
    <n v="80"/>
    <n v="3"/>
    <n v="12"/>
    <n v="2"/>
    <n v="1"/>
    <n v="0"/>
    <n v="0"/>
    <n v="0"/>
  </r>
  <r>
    <s v="No"/>
    <s v="Travel_Rarely"/>
    <x v="2"/>
    <s v="Current Employees"/>
    <x v="1"/>
    <x v="0"/>
    <x v="7"/>
    <x v="7"/>
    <x v="1"/>
    <x v="2"/>
    <x v="2"/>
    <s v="No"/>
    <s v="Y"/>
    <n v="2"/>
    <n v="-2"/>
    <n v="0"/>
    <x v="7"/>
    <x v="1"/>
    <m/>
    <n v="0"/>
    <n v="1"/>
    <n v="1358"/>
    <n v="24"/>
    <x v="1"/>
    <n v="1"/>
    <n v="4"/>
    <n v="67"/>
    <n v="3"/>
    <n v="1"/>
    <n v="2"/>
    <n v="2693"/>
    <n v="13335"/>
    <n v="1"/>
    <n v="22"/>
    <n v="4"/>
    <n v="2"/>
    <n v="80"/>
    <n v="1"/>
    <n v="1"/>
    <n v="3"/>
    <n v="1"/>
    <n v="0"/>
    <n v="0"/>
    <n v="0"/>
  </r>
  <r>
    <s v="No"/>
    <s v="Travel_Frequently"/>
    <x v="0"/>
    <s v="Current Employees"/>
    <x v="1"/>
    <x v="0"/>
    <x v="8"/>
    <x v="8"/>
    <x v="1"/>
    <x v="3"/>
    <x v="0"/>
    <s v="No"/>
    <s v="Y"/>
    <n v="2"/>
    <n v="-2"/>
    <n v="0"/>
    <x v="8"/>
    <x v="1"/>
    <m/>
    <n v="0"/>
    <n v="1"/>
    <n v="216"/>
    <n v="23"/>
    <x v="3"/>
    <n v="1"/>
    <n v="4"/>
    <n v="44"/>
    <n v="2"/>
    <n v="3"/>
    <n v="2"/>
    <n v="9526"/>
    <n v="8787"/>
    <n v="0"/>
    <n v="21"/>
    <n v="4"/>
    <n v="2"/>
    <n v="80"/>
    <n v="0"/>
    <n v="10"/>
    <n v="3"/>
    <n v="9"/>
    <n v="7"/>
    <n v="1"/>
    <n v="8"/>
  </r>
  <r>
    <s v="No"/>
    <s v="Travel_Rarely"/>
    <x v="0"/>
    <s v="Current Employees"/>
    <x v="1"/>
    <x v="2"/>
    <x v="9"/>
    <x v="9"/>
    <x v="1"/>
    <x v="4"/>
    <x v="1"/>
    <s v="No"/>
    <s v="Y"/>
    <n v="3"/>
    <n v="-2"/>
    <n v="0"/>
    <x v="9"/>
    <x v="1"/>
    <m/>
    <n v="0"/>
    <n v="1"/>
    <n v="1299"/>
    <n v="27"/>
    <x v="3"/>
    <n v="1"/>
    <n v="3"/>
    <n v="94"/>
    <n v="3"/>
    <n v="2"/>
    <n v="3"/>
    <n v="5237"/>
    <n v="16577"/>
    <n v="6"/>
    <n v="13"/>
    <n v="3"/>
    <n v="2"/>
    <n v="80"/>
    <n v="2"/>
    <n v="17"/>
    <n v="2"/>
    <n v="7"/>
    <n v="7"/>
    <n v="7"/>
    <n v="7"/>
  </r>
  <r>
    <s v="No"/>
    <s v="Travel_Rarely"/>
    <x v="0"/>
    <s v="Current Employees"/>
    <x v="1"/>
    <x v="2"/>
    <x v="10"/>
    <x v="10"/>
    <x v="1"/>
    <x v="2"/>
    <x v="1"/>
    <s v="No"/>
    <s v="Y"/>
    <n v="5"/>
    <n v="-2"/>
    <n v="0"/>
    <x v="10"/>
    <x v="1"/>
    <m/>
    <n v="0"/>
    <n v="1"/>
    <n v="809"/>
    <n v="16"/>
    <x v="3"/>
    <n v="1"/>
    <n v="1"/>
    <n v="84"/>
    <n v="4"/>
    <n v="1"/>
    <n v="2"/>
    <n v="2426"/>
    <n v="16479"/>
    <n v="0"/>
    <n v="13"/>
    <n v="3"/>
    <n v="3"/>
    <n v="80"/>
    <n v="1"/>
    <n v="6"/>
    <n v="3"/>
    <n v="5"/>
    <n v="4"/>
    <n v="0"/>
    <n v="3"/>
  </r>
  <r>
    <s v="No"/>
    <s v="Travel_Rarely"/>
    <x v="2"/>
    <s v="Current Employees"/>
    <x v="1"/>
    <x v="0"/>
    <x v="11"/>
    <x v="11"/>
    <x v="0"/>
    <x v="2"/>
    <x v="0"/>
    <s v="Yes"/>
    <s v="Y"/>
    <n v="3"/>
    <n v="-2"/>
    <n v="0"/>
    <x v="11"/>
    <x v="1"/>
    <m/>
    <n v="0"/>
    <n v="1"/>
    <n v="153"/>
    <n v="15"/>
    <x v="0"/>
    <n v="1"/>
    <n v="4"/>
    <n v="49"/>
    <n v="2"/>
    <n v="2"/>
    <n v="2"/>
    <n v="4193"/>
    <n v="12682"/>
    <n v="0"/>
    <n v="12"/>
    <n v="3"/>
    <n v="4"/>
    <n v="80"/>
    <n v="0"/>
    <n v="10"/>
    <n v="3"/>
    <n v="9"/>
    <n v="5"/>
    <n v="0"/>
    <n v="8"/>
  </r>
  <r>
    <s v="No"/>
    <s v="Travel_Rarely"/>
    <x v="2"/>
    <s v="Current Employees"/>
    <x v="1"/>
    <x v="0"/>
    <x v="12"/>
    <x v="12"/>
    <x v="1"/>
    <x v="1"/>
    <x v="2"/>
    <s v="No"/>
    <s v="Y"/>
    <n v="1"/>
    <n v="-2"/>
    <n v="0"/>
    <x v="12"/>
    <x v="1"/>
    <m/>
    <n v="0"/>
    <n v="1"/>
    <n v="670"/>
    <n v="26"/>
    <x v="1"/>
    <n v="1"/>
    <n v="1"/>
    <n v="31"/>
    <n v="3"/>
    <n v="1"/>
    <n v="2"/>
    <n v="2911"/>
    <n v="15170"/>
    <n v="1"/>
    <n v="17"/>
    <n v="3"/>
    <n v="4"/>
    <n v="80"/>
    <n v="1"/>
    <n v="5"/>
    <n v="2"/>
    <n v="5"/>
    <n v="2"/>
    <n v="4"/>
    <n v="3"/>
  </r>
  <r>
    <s v="No"/>
    <s v="Travel_Rarely"/>
    <x v="2"/>
    <s v="Current Employees"/>
    <x v="1"/>
    <x v="2"/>
    <x v="13"/>
    <x v="13"/>
    <x v="1"/>
    <x v="2"/>
    <x v="2"/>
    <s v="No"/>
    <s v="Y"/>
    <n v="2"/>
    <n v="-2"/>
    <n v="0"/>
    <x v="13"/>
    <x v="1"/>
    <m/>
    <n v="0"/>
    <n v="1"/>
    <n v="1346"/>
    <n v="19"/>
    <x v="0"/>
    <n v="1"/>
    <n v="2"/>
    <n v="93"/>
    <n v="3"/>
    <n v="1"/>
    <n v="4"/>
    <n v="2661"/>
    <n v="8758"/>
    <n v="0"/>
    <n v="11"/>
    <n v="3"/>
    <n v="3"/>
    <n v="80"/>
    <n v="1"/>
    <n v="3"/>
    <n v="3"/>
    <n v="2"/>
    <n v="2"/>
    <n v="1"/>
    <n v="2"/>
  </r>
  <r>
    <s v="Yes"/>
    <s v="Travel_Rarely"/>
    <x v="2"/>
    <s v="Ex-Employees"/>
    <x v="1"/>
    <x v="0"/>
    <x v="14"/>
    <x v="14"/>
    <x v="1"/>
    <x v="2"/>
    <x v="0"/>
    <s v="Yes"/>
    <s v="Y"/>
    <n v="4"/>
    <n v="-2"/>
    <n v="0"/>
    <x v="14"/>
    <x v="0"/>
    <n v="1"/>
    <n v="1"/>
    <n v="0"/>
    <n v="103"/>
    <n v="24"/>
    <x v="3"/>
    <n v="1"/>
    <n v="3"/>
    <n v="50"/>
    <n v="2"/>
    <n v="1"/>
    <n v="2"/>
    <n v="2028"/>
    <n v="12947"/>
    <n v="5"/>
    <n v="14"/>
    <n v="3"/>
    <n v="2"/>
    <n v="80"/>
    <n v="0"/>
    <n v="6"/>
    <n v="3"/>
    <n v="4"/>
    <n v="2"/>
    <n v="0"/>
    <n v="3"/>
  </r>
  <r>
    <s v="No"/>
    <s v="Travel_Rarely"/>
    <x v="2"/>
    <s v="Current Employees"/>
    <x v="1"/>
    <x v="0"/>
    <x v="15"/>
    <x v="15"/>
    <x v="0"/>
    <x v="3"/>
    <x v="2"/>
    <s v="No"/>
    <s v="Y"/>
    <n v="1"/>
    <n v="-2"/>
    <n v="0"/>
    <x v="11"/>
    <x v="1"/>
    <m/>
    <n v="0"/>
    <n v="1"/>
    <n v="1389"/>
    <n v="21"/>
    <x v="2"/>
    <n v="1"/>
    <n v="2"/>
    <n v="51"/>
    <n v="4"/>
    <n v="3"/>
    <n v="2"/>
    <n v="9980"/>
    <n v="10195"/>
    <n v="1"/>
    <n v="11"/>
    <n v="3"/>
    <n v="3"/>
    <n v="80"/>
    <n v="1"/>
    <n v="10"/>
    <n v="3"/>
    <n v="10"/>
    <n v="9"/>
    <n v="8"/>
    <n v="8"/>
  </r>
  <r>
    <s v="No"/>
    <s v="Travel_Rarely"/>
    <x v="2"/>
    <s v="Current Employees"/>
    <x v="1"/>
    <x v="0"/>
    <x v="16"/>
    <x v="16"/>
    <x v="1"/>
    <x v="1"/>
    <x v="2"/>
    <s v="Yes"/>
    <s v="Y"/>
    <n v="5"/>
    <n v="-2"/>
    <n v="0"/>
    <x v="5"/>
    <x v="1"/>
    <m/>
    <n v="0"/>
    <n v="1"/>
    <n v="334"/>
    <n v="5"/>
    <x v="0"/>
    <n v="1"/>
    <n v="1"/>
    <n v="80"/>
    <n v="4"/>
    <n v="1"/>
    <n v="2"/>
    <n v="3298"/>
    <n v="15053"/>
    <n v="0"/>
    <n v="12"/>
    <n v="3"/>
    <n v="4"/>
    <n v="80"/>
    <n v="2"/>
    <n v="7"/>
    <n v="2"/>
    <n v="6"/>
    <n v="2"/>
    <n v="0"/>
    <n v="5"/>
  </r>
  <r>
    <s v="No"/>
    <s v="Non-Travel"/>
    <x v="4"/>
    <s v="Current Employees"/>
    <x v="1"/>
    <x v="2"/>
    <x v="17"/>
    <x v="17"/>
    <x v="1"/>
    <x v="2"/>
    <x v="2"/>
    <s v="Yes"/>
    <s v="Y"/>
    <n v="2"/>
    <n v="-2"/>
    <n v="0"/>
    <x v="15"/>
    <x v="1"/>
    <m/>
    <n v="0"/>
    <n v="1"/>
    <n v="1123"/>
    <n v="16"/>
    <x v="0"/>
    <n v="1"/>
    <n v="4"/>
    <n v="96"/>
    <n v="4"/>
    <n v="1"/>
    <n v="4"/>
    <n v="2935"/>
    <n v="7324"/>
    <n v="1"/>
    <n v="13"/>
    <n v="3"/>
    <n v="2"/>
    <n v="80"/>
    <n v="2"/>
    <n v="1"/>
    <n v="2"/>
    <n v="1"/>
    <n v="0"/>
    <n v="0"/>
    <n v="0"/>
  </r>
  <r>
    <s v="No"/>
    <s v="Travel_Rarely"/>
    <x v="1"/>
    <s v="Current Employees"/>
    <x v="0"/>
    <x v="0"/>
    <x v="18"/>
    <x v="18"/>
    <x v="0"/>
    <x v="5"/>
    <x v="1"/>
    <s v="No"/>
    <s v="Y"/>
    <n v="3"/>
    <n v="-2"/>
    <n v="0"/>
    <x v="16"/>
    <x v="1"/>
    <m/>
    <n v="0"/>
    <n v="1"/>
    <n v="1219"/>
    <n v="2"/>
    <x v="2"/>
    <n v="1"/>
    <n v="1"/>
    <n v="78"/>
    <n v="2"/>
    <n v="4"/>
    <n v="2"/>
    <n v="15427"/>
    <n v="22021"/>
    <n v="2"/>
    <n v="16"/>
    <n v="3"/>
    <n v="3"/>
    <n v="80"/>
    <n v="0"/>
    <n v="31"/>
    <n v="3"/>
    <n v="25"/>
    <n v="8"/>
    <n v="3"/>
    <n v="7"/>
  </r>
  <r>
    <s v="No"/>
    <s v="Travel_Rarely"/>
    <x v="0"/>
    <s v="Current Employees"/>
    <x v="1"/>
    <x v="0"/>
    <x v="19"/>
    <x v="19"/>
    <x v="1"/>
    <x v="1"/>
    <x v="0"/>
    <s v="Yes"/>
    <s v="Y"/>
    <n v="3"/>
    <n v="-2"/>
    <n v="0"/>
    <x v="8"/>
    <x v="1"/>
    <m/>
    <n v="0"/>
    <n v="1"/>
    <n v="371"/>
    <n v="2"/>
    <x v="3"/>
    <n v="1"/>
    <n v="4"/>
    <n v="45"/>
    <n v="3"/>
    <n v="1"/>
    <n v="2"/>
    <n v="3944"/>
    <n v="4306"/>
    <n v="5"/>
    <n v="11"/>
    <n v="3"/>
    <n v="3"/>
    <n v="80"/>
    <n v="0"/>
    <n v="6"/>
    <n v="3"/>
    <n v="3"/>
    <n v="2"/>
    <n v="1"/>
    <n v="2"/>
  </r>
  <r>
    <s v="No"/>
    <s v="Non-Travel"/>
    <x v="4"/>
    <s v="Current Employees"/>
    <x v="1"/>
    <x v="1"/>
    <x v="20"/>
    <x v="20"/>
    <x v="0"/>
    <x v="3"/>
    <x v="2"/>
    <s v="No"/>
    <s v="Y"/>
    <n v="5"/>
    <n v="-2"/>
    <n v="0"/>
    <x v="17"/>
    <x v="1"/>
    <m/>
    <n v="0"/>
    <n v="1"/>
    <n v="673"/>
    <n v="11"/>
    <x v="0"/>
    <n v="1"/>
    <n v="1"/>
    <n v="96"/>
    <n v="4"/>
    <n v="2"/>
    <n v="3"/>
    <n v="4011"/>
    <n v="8232"/>
    <n v="0"/>
    <n v="18"/>
    <n v="3"/>
    <n v="4"/>
    <n v="80"/>
    <n v="1"/>
    <n v="5"/>
    <n v="2"/>
    <n v="4"/>
    <n v="2"/>
    <n v="1"/>
    <n v="3"/>
  </r>
  <r>
    <s v="Yes"/>
    <s v="Travel_Rarely"/>
    <x v="0"/>
    <s v="Ex-Employees"/>
    <x v="0"/>
    <x v="0"/>
    <x v="21"/>
    <x v="21"/>
    <x v="1"/>
    <x v="6"/>
    <x v="0"/>
    <s v="No"/>
    <s v="Y"/>
    <n v="4"/>
    <n v="-2"/>
    <n v="0"/>
    <x v="9"/>
    <x v="0"/>
    <n v="1"/>
    <n v="1"/>
    <n v="0"/>
    <n v="1218"/>
    <n v="9"/>
    <x v="2"/>
    <n v="1"/>
    <n v="3"/>
    <n v="82"/>
    <n v="2"/>
    <n v="1"/>
    <n v="2"/>
    <n v="3407"/>
    <n v="6986"/>
    <n v="7"/>
    <n v="23"/>
    <n v="4"/>
    <n v="2"/>
    <n v="80"/>
    <n v="0"/>
    <n v="10"/>
    <n v="3"/>
    <n v="5"/>
    <n v="3"/>
    <n v="0"/>
    <n v="3"/>
  </r>
  <r>
    <s v="No"/>
    <s v="Travel_Rarely"/>
    <x v="2"/>
    <s v="Current Employees"/>
    <x v="1"/>
    <x v="0"/>
    <x v="22"/>
    <x v="22"/>
    <x v="0"/>
    <x v="7"/>
    <x v="0"/>
    <s v="No"/>
    <s v="Y"/>
    <n v="4"/>
    <n v="-2"/>
    <n v="0"/>
    <x v="13"/>
    <x v="1"/>
    <m/>
    <n v="0"/>
    <n v="1"/>
    <n v="419"/>
    <n v="7"/>
    <x v="2"/>
    <n v="1"/>
    <n v="1"/>
    <n v="53"/>
    <n v="3"/>
    <n v="3"/>
    <n v="2"/>
    <n v="11994"/>
    <n v="21293"/>
    <n v="0"/>
    <n v="11"/>
    <n v="3"/>
    <n v="3"/>
    <n v="80"/>
    <n v="0"/>
    <n v="13"/>
    <n v="3"/>
    <n v="12"/>
    <n v="6"/>
    <n v="2"/>
    <n v="11"/>
  </r>
  <r>
    <s v="No"/>
    <s v="Travel_Rarely"/>
    <x v="4"/>
    <s v="Current Employees"/>
    <x v="1"/>
    <x v="0"/>
    <x v="23"/>
    <x v="23"/>
    <x v="1"/>
    <x v="1"/>
    <x v="0"/>
    <s v="No"/>
    <s v="Y"/>
    <n v="6"/>
    <n v="-2"/>
    <n v="0"/>
    <x v="18"/>
    <x v="1"/>
    <m/>
    <n v="0"/>
    <n v="1"/>
    <n v="391"/>
    <n v="15"/>
    <x v="0"/>
    <n v="1"/>
    <n v="3"/>
    <n v="96"/>
    <n v="3"/>
    <n v="1"/>
    <n v="2"/>
    <n v="1232"/>
    <n v="19281"/>
    <n v="1"/>
    <n v="14"/>
    <n v="3"/>
    <n v="4"/>
    <n v="80"/>
    <n v="0"/>
    <n v="0"/>
    <n v="3"/>
    <n v="0"/>
    <n v="0"/>
    <n v="0"/>
    <n v="0"/>
  </r>
  <r>
    <s v="Yes"/>
    <s v="Travel_Rarely"/>
    <x v="2"/>
    <s v="Ex-Employees"/>
    <x v="1"/>
    <x v="2"/>
    <x v="24"/>
    <x v="24"/>
    <x v="1"/>
    <x v="1"/>
    <x v="0"/>
    <s v="No"/>
    <s v="Y"/>
    <n v="2"/>
    <n v="-2"/>
    <n v="0"/>
    <x v="13"/>
    <x v="0"/>
    <n v="1"/>
    <n v="1"/>
    <n v="0"/>
    <n v="699"/>
    <n v="6"/>
    <x v="1"/>
    <n v="1"/>
    <n v="2"/>
    <n v="83"/>
    <n v="3"/>
    <n v="1"/>
    <n v="4"/>
    <n v="2960"/>
    <n v="17102"/>
    <n v="2"/>
    <n v="11"/>
    <n v="3"/>
    <n v="3"/>
    <n v="80"/>
    <n v="0"/>
    <n v="8"/>
    <n v="3"/>
    <n v="4"/>
    <n v="2"/>
    <n v="1"/>
    <n v="3"/>
  </r>
  <r>
    <s v="No"/>
    <s v="Travel_Rarely"/>
    <x v="1"/>
    <s v="Current Employees"/>
    <x v="1"/>
    <x v="1"/>
    <x v="25"/>
    <x v="25"/>
    <x v="0"/>
    <x v="5"/>
    <x v="2"/>
    <s v="No"/>
    <s v="Y"/>
    <n v="3"/>
    <n v="-2"/>
    <n v="0"/>
    <x v="16"/>
    <x v="1"/>
    <m/>
    <n v="0"/>
    <n v="1"/>
    <n v="1282"/>
    <n v="5"/>
    <x v="3"/>
    <n v="1"/>
    <n v="3"/>
    <n v="58"/>
    <n v="3"/>
    <n v="5"/>
    <n v="3"/>
    <n v="19094"/>
    <n v="10735"/>
    <n v="4"/>
    <n v="11"/>
    <n v="3"/>
    <n v="4"/>
    <n v="80"/>
    <n v="1"/>
    <n v="26"/>
    <n v="2"/>
    <n v="14"/>
    <n v="13"/>
    <n v="4"/>
    <n v="8"/>
  </r>
  <r>
    <s v="Yes"/>
    <s v="Travel_Frequently"/>
    <x v="2"/>
    <s v="Ex-Employees"/>
    <x v="1"/>
    <x v="0"/>
    <x v="26"/>
    <x v="26"/>
    <x v="0"/>
    <x v="1"/>
    <x v="0"/>
    <s v="Yes"/>
    <s v="Y"/>
    <n v="5"/>
    <n v="-2"/>
    <n v="0"/>
    <x v="5"/>
    <x v="0"/>
    <n v="1"/>
    <n v="1"/>
    <n v="0"/>
    <n v="1125"/>
    <n v="16"/>
    <x v="1"/>
    <n v="1"/>
    <n v="2"/>
    <n v="72"/>
    <n v="1"/>
    <n v="1"/>
    <n v="2"/>
    <n v="3919"/>
    <n v="4681"/>
    <n v="1"/>
    <n v="22"/>
    <n v="4"/>
    <n v="2"/>
    <n v="80"/>
    <n v="0"/>
    <n v="10"/>
    <n v="3"/>
    <n v="10"/>
    <n v="2"/>
    <n v="6"/>
    <n v="7"/>
  </r>
  <r>
    <s v="No"/>
    <s v="Travel_Rarely"/>
    <x v="0"/>
    <s v="Current Employees"/>
    <x v="0"/>
    <x v="3"/>
    <x v="27"/>
    <x v="27"/>
    <x v="1"/>
    <x v="0"/>
    <x v="1"/>
    <s v="No"/>
    <s v="Y"/>
    <n v="2"/>
    <n v="-2"/>
    <n v="0"/>
    <x v="19"/>
    <x v="1"/>
    <m/>
    <n v="0"/>
    <n v="1"/>
    <n v="691"/>
    <n v="8"/>
    <x v="2"/>
    <n v="1"/>
    <n v="3"/>
    <n v="48"/>
    <n v="3"/>
    <n v="2"/>
    <n v="3"/>
    <n v="6825"/>
    <n v="21173"/>
    <n v="0"/>
    <n v="11"/>
    <n v="3"/>
    <n v="4"/>
    <n v="80"/>
    <n v="1"/>
    <n v="10"/>
    <n v="3"/>
    <n v="9"/>
    <n v="7"/>
    <n v="4"/>
    <n v="2"/>
  </r>
  <r>
    <s v="No"/>
    <s v="Travel_Rarely"/>
    <x v="0"/>
    <s v="Current Employees"/>
    <x v="1"/>
    <x v="2"/>
    <x v="28"/>
    <x v="28"/>
    <x v="0"/>
    <x v="4"/>
    <x v="1"/>
    <s v="No"/>
    <s v="Y"/>
    <n v="4"/>
    <n v="-2"/>
    <n v="0"/>
    <x v="20"/>
    <x v="1"/>
    <m/>
    <n v="0"/>
    <n v="1"/>
    <n v="477"/>
    <n v="7"/>
    <x v="2"/>
    <n v="1"/>
    <n v="1"/>
    <n v="42"/>
    <n v="2"/>
    <n v="3"/>
    <n v="4"/>
    <n v="10248"/>
    <n v="2094"/>
    <n v="3"/>
    <n v="14"/>
    <n v="3"/>
    <n v="4"/>
    <n v="80"/>
    <n v="1"/>
    <n v="24"/>
    <n v="3"/>
    <n v="22"/>
    <n v="6"/>
    <n v="5"/>
    <n v="17"/>
  </r>
  <r>
    <s v="No"/>
    <s v="Travel_Rarely"/>
    <x v="1"/>
    <s v="Current Employees"/>
    <x v="0"/>
    <x v="3"/>
    <x v="29"/>
    <x v="29"/>
    <x v="0"/>
    <x v="5"/>
    <x v="0"/>
    <s v="No"/>
    <s v="Y"/>
    <n v="2"/>
    <n v="-2"/>
    <n v="0"/>
    <x v="21"/>
    <x v="1"/>
    <m/>
    <n v="0"/>
    <n v="1"/>
    <n v="705"/>
    <n v="2"/>
    <x v="2"/>
    <n v="1"/>
    <n v="2"/>
    <n v="83"/>
    <n v="3"/>
    <n v="5"/>
    <n v="4"/>
    <n v="18947"/>
    <n v="22822"/>
    <n v="3"/>
    <n v="12"/>
    <n v="3"/>
    <n v="4"/>
    <n v="80"/>
    <n v="0"/>
    <n v="22"/>
    <n v="2"/>
    <n v="2"/>
    <n v="2"/>
    <n v="2"/>
    <n v="1"/>
  </r>
  <r>
    <s v="No"/>
    <s v="Travel_Rarely"/>
    <x v="2"/>
    <s v="Current Employees"/>
    <x v="1"/>
    <x v="2"/>
    <x v="30"/>
    <x v="30"/>
    <x v="1"/>
    <x v="2"/>
    <x v="0"/>
    <s v="No"/>
    <s v="Y"/>
    <n v="3"/>
    <n v="-2"/>
    <n v="0"/>
    <x v="3"/>
    <x v="1"/>
    <m/>
    <n v="0"/>
    <n v="1"/>
    <n v="924"/>
    <n v="2"/>
    <x v="3"/>
    <n v="1"/>
    <n v="3"/>
    <n v="78"/>
    <n v="3"/>
    <n v="1"/>
    <n v="4"/>
    <n v="2496"/>
    <n v="6670"/>
    <n v="4"/>
    <n v="11"/>
    <n v="3"/>
    <n v="4"/>
    <n v="80"/>
    <n v="0"/>
    <n v="7"/>
    <n v="3"/>
    <n v="1"/>
    <n v="1"/>
    <n v="0"/>
    <n v="0"/>
  </r>
  <r>
    <s v="No"/>
    <s v="Travel_Rarely"/>
    <x v="0"/>
    <s v="Current Employees"/>
    <x v="1"/>
    <x v="1"/>
    <x v="31"/>
    <x v="31"/>
    <x v="1"/>
    <x v="4"/>
    <x v="1"/>
    <s v="Yes"/>
    <s v="Y"/>
    <n v="5"/>
    <n v="-2"/>
    <n v="0"/>
    <x v="20"/>
    <x v="1"/>
    <m/>
    <n v="0"/>
    <n v="1"/>
    <n v="1459"/>
    <n v="10"/>
    <x v="2"/>
    <n v="1"/>
    <n v="4"/>
    <n v="41"/>
    <n v="3"/>
    <n v="2"/>
    <n v="4"/>
    <n v="6465"/>
    <n v="19121"/>
    <n v="2"/>
    <n v="13"/>
    <n v="3"/>
    <n v="4"/>
    <n v="80"/>
    <n v="0"/>
    <n v="9"/>
    <n v="4"/>
    <n v="4"/>
    <n v="2"/>
    <n v="1"/>
    <n v="3"/>
  </r>
  <r>
    <s v="No"/>
    <s v="Travel_Rarely"/>
    <x v="2"/>
    <s v="Current Employees"/>
    <x v="1"/>
    <x v="2"/>
    <x v="32"/>
    <x v="32"/>
    <x v="1"/>
    <x v="2"/>
    <x v="0"/>
    <s v="No"/>
    <s v="Y"/>
    <n v="5"/>
    <n v="-2"/>
    <n v="0"/>
    <x v="7"/>
    <x v="1"/>
    <m/>
    <n v="0"/>
    <n v="1"/>
    <n v="125"/>
    <n v="9"/>
    <x v="0"/>
    <n v="1"/>
    <n v="4"/>
    <n v="83"/>
    <n v="2"/>
    <n v="1"/>
    <n v="3"/>
    <n v="2206"/>
    <n v="16117"/>
    <n v="1"/>
    <n v="13"/>
    <n v="3"/>
    <n v="1"/>
    <n v="80"/>
    <n v="0"/>
    <n v="10"/>
    <n v="3"/>
    <n v="10"/>
    <n v="0"/>
    <n v="1"/>
    <n v="8"/>
  </r>
  <r>
    <s v="Yes"/>
    <s v="Travel_Rarely"/>
    <x v="0"/>
    <s v="Ex-Employees"/>
    <x v="0"/>
    <x v="4"/>
    <x v="33"/>
    <x v="33"/>
    <x v="1"/>
    <x v="6"/>
    <x v="1"/>
    <s v="No"/>
    <s v="Y"/>
    <n v="6"/>
    <n v="-2"/>
    <n v="0"/>
    <x v="22"/>
    <x v="0"/>
    <n v="1"/>
    <n v="1"/>
    <n v="0"/>
    <n v="895"/>
    <n v="5"/>
    <x v="3"/>
    <n v="1"/>
    <n v="4"/>
    <n v="56"/>
    <n v="3"/>
    <n v="2"/>
    <n v="4"/>
    <n v="2086"/>
    <n v="3335"/>
    <n v="3"/>
    <n v="14"/>
    <n v="3"/>
    <n v="3"/>
    <n v="80"/>
    <n v="1"/>
    <n v="19"/>
    <n v="4"/>
    <n v="1"/>
    <n v="0"/>
    <n v="0"/>
    <n v="0"/>
  </r>
  <r>
    <s v="Yes"/>
    <s v="Travel_Rarely"/>
    <x v="4"/>
    <s v="Ex-Employees"/>
    <x v="1"/>
    <x v="2"/>
    <x v="34"/>
    <x v="34"/>
    <x v="1"/>
    <x v="1"/>
    <x v="1"/>
    <s v="Yes"/>
    <s v="Y"/>
    <n v="2"/>
    <n v="-2"/>
    <n v="0"/>
    <x v="17"/>
    <x v="0"/>
    <n v="1"/>
    <n v="1"/>
    <n v="0"/>
    <n v="813"/>
    <n v="1"/>
    <x v="3"/>
    <n v="1"/>
    <n v="2"/>
    <n v="61"/>
    <n v="3"/>
    <n v="1"/>
    <n v="4"/>
    <n v="2293"/>
    <n v="3020"/>
    <n v="2"/>
    <n v="16"/>
    <n v="3"/>
    <n v="1"/>
    <n v="80"/>
    <n v="1"/>
    <n v="6"/>
    <n v="2"/>
    <n v="2"/>
    <n v="0"/>
    <n v="2"/>
    <n v="0"/>
  </r>
  <r>
    <s v="No"/>
    <s v="Travel_Rarely"/>
    <x v="0"/>
    <s v="Current Employees"/>
    <x v="1"/>
    <x v="2"/>
    <x v="35"/>
    <x v="35"/>
    <x v="0"/>
    <x v="1"/>
    <x v="2"/>
    <s v="No"/>
    <s v="Y"/>
    <n v="3"/>
    <n v="-2"/>
    <n v="0"/>
    <x v="23"/>
    <x v="1"/>
    <m/>
    <n v="0"/>
    <n v="1"/>
    <n v="1273"/>
    <n v="2"/>
    <x v="0"/>
    <n v="1"/>
    <n v="4"/>
    <n v="72"/>
    <n v="4"/>
    <n v="1"/>
    <n v="3"/>
    <n v="2645"/>
    <n v="21923"/>
    <n v="1"/>
    <n v="12"/>
    <n v="3"/>
    <n v="4"/>
    <n v="80"/>
    <n v="2"/>
    <n v="6"/>
    <n v="2"/>
    <n v="5"/>
    <n v="3"/>
    <n v="1"/>
    <n v="4"/>
  </r>
  <r>
    <s v="Yes"/>
    <s v="Travel_Rarely"/>
    <x v="1"/>
    <s v="Ex-Employees"/>
    <x v="0"/>
    <x v="3"/>
    <x v="36"/>
    <x v="36"/>
    <x v="1"/>
    <x v="6"/>
    <x v="1"/>
    <s v="Yes"/>
    <s v="Y"/>
    <n v="2"/>
    <n v="-2"/>
    <n v="0"/>
    <x v="24"/>
    <x v="0"/>
    <n v="1"/>
    <n v="1"/>
    <n v="0"/>
    <n v="869"/>
    <n v="3"/>
    <x v="0"/>
    <n v="1"/>
    <n v="1"/>
    <n v="86"/>
    <n v="2"/>
    <n v="1"/>
    <n v="3"/>
    <n v="2683"/>
    <n v="3810"/>
    <n v="1"/>
    <n v="14"/>
    <n v="3"/>
    <n v="3"/>
    <n v="80"/>
    <n v="0"/>
    <n v="3"/>
    <n v="3"/>
    <n v="3"/>
    <n v="2"/>
    <n v="0"/>
    <n v="2"/>
  </r>
  <r>
    <s v="No"/>
    <s v="Travel_Rarely"/>
    <x v="0"/>
    <s v="Current Employees"/>
    <x v="0"/>
    <x v="3"/>
    <x v="37"/>
    <x v="37"/>
    <x v="0"/>
    <x v="6"/>
    <x v="1"/>
    <s v="No"/>
    <s v="Y"/>
    <n v="3"/>
    <n v="-2"/>
    <n v="0"/>
    <x v="10"/>
    <x v="1"/>
    <m/>
    <n v="0"/>
    <n v="1"/>
    <n v="890"/>
    <n v="2"/>
    <x v="3"/>
    <n v="1"/>
    <n v="4"/>
    <n v="97"/>
    <n v="3"/>
    <n v="1"/>
    <n v="4"/>
    <n v="2014"/>
    <n v="9687"/>
    <n v="1"/>
    <n v="13"/>
    <n v="3"/>
    <n v="1"/>
    <n v="80"/>
    <n v="0"/>
    <n v="2"/>
    <n v="3"/>
    <n v="2"/>
    <n v="2"/>
    <n v="2"/>
    <n v="2"/>
  </r>
  <r>
    <s v="No"/>
    <s v="Travel_Rarely"/>
    <x v="0"/>
    <s v="Current Employees"/>
    <x v="1"/>
    <x v="0"/>
    <x v="38"/>
    <x v="38"/>
    <x v="0"/>
    <x v="1"/>
    <x v="1"/>
    <s v="Yes"/>
    <s v="Y"/>
    <n v="3"/>
    <n v="-2"/>
    <n v="0"/>
    <x v="9"/>
    <x v="1"/>
    <m/>
    <n v="0"/>
    <n v="1"/>
    <n v="852"/>
    <n v="5"/>
    <x v="2"/>
    <n v="1"/>
    <n v="2"/>
    <n v="82"/>
    <n v="2"/>
    <n v="1"/>
    <n v="2"/>
    <n v="3419"/>
    <n v="13072"/>
    <n v="9"/>
    <n v="14"/>
    <n v="3"/>
    <n v="4"/>
    <n v="80"/>
    <n v="1"/>
    <n v="6"/>
    <n v="4"/>
    <n v="1"/>
    <n v="1"/>
    <n v="0"/>
    <n v="0"/>
  </r>
  <r>
    <s v="No"/>
    <s v="Travel_Frequently"/>
    <x v="2"/>
    <s v="Current Employees"/>
    <x v="0"/>
    <x v="0"/>
    <x v="39"/>
    <x v="39"/>
    <x v="0"/>
    <x v="0"/>
    <x v="1"/>
    <s v="No"/>
    <s v="Y"/>
    <n v="3"/>
    <n v="-2"/>
    <n v="0"/>
    <x v="3"/>
    <x v="1"/>
    <m/>
    <n v="0"/>
    <n v="1"/>
    <n v="1141"/>
    <n v="1"/>
    <x v="3"/>
    <n v="1"/>
    <n v="3"/>
    <n v="42"/>
    <n v="4"/>
    <n v="2"/>
    <n v="2"/>
    <n v="5376"/>
    <n v="3193"/>
    <n v="2"/>
    <n v="19"/>
    <n v="3"/>
    <n v="1"/>
    <n v="80"/>
    <n v="2"/>
    <n v="10"/>
    <n v="3"/>
    <n v="5"/>
    <n v="3"/>
    <n v="1"/>
    <n v="3"/>
  </r>
  <r>
    <s v="No"/>
    <s v="Travel_Rarely"/>
    <x v="0"/>
    <s v="Current Employees"/>
    <x v="1"/>
    <x v="1"/>
    <x v="40"/>
    <x v="40"/>
    <x v="1"/>
    <x v="2"/>
    <x v="2"/>
    <s v="No"/>
    <s v="Y"/>
    <n v="3"/>
    <n v="-2"/>
    <n v="0"/>
    <x v="10"/>
    <x v="1"/>
    <m/>
    <n v="0"/>
    <n v="1"/>
    <n v="464"/>
    <n v="4"/>
    <x v="0"/>
    <n v="1"/>
    <n v="3"/>
    <n v="75"/>
    <n v="3"/>
    <n v="1"/>
    <n v="4"/>
    <n v="1951"/>
    <n v="10910"/>
    <n v="1"/>
    <n v="12"/>
    <n v="3"/>
    <n v="3"/>
    <n v="80"/>
    <n v="1"/>
    <n v="1"/>
    <n v="3"/>
    <n v="1"/>
    <n v="0"/>
    <n v="0"/>
    <n v="0"/>
  </r>
  <r>
    <s v="No"/>
    <s v="Travel_Rarely"/>
    <x v="2"/>
    <s v="Current Employees"/>
    <x v="1"/>
    <x v="0"/>
    <x v="41"/>
    <x v="41"/>
    <x v="0"/>
    <x v="2"/>
    <x v="2"/>
    <s v="No"/>
    <s v="Y"/>
    <n v="6"/>
    <n v="-2"/>
    <n v="0"/>
    <x v="4"/>
    <x v="1"/>
    <m/>
    <n v="0"/>
    <n v="1"/>
    <n v="1240"/>
    <n v="2"/>
    <x v="2"/>
    <n v="1"/>
    <n v="4"/>
    <n v="33"/>
    <n v="3"/>
    <n v="1"/>
    <n v="2"/>
    <n v="2341"/>
    <n v="19715"/>
    <n v="1"/>
    <n v="13"/>
    <n v="3"/>
    <n v="4"/>
    <n v="80"/>
    <n v="1"/>
    <n v="1"/>
    <n v="3"/>
    <n v="1"/>
    <n v="0"/>
    <n v="0"/>
    <n v="0"/>
  </r>
  <r>
    <s v="Yes"/>
    <s v="Travel_Rarely"/>
    <x v="2"/>
    <s v="Ex-Employees"/>
    <x v="1"/>
    <x v="0"/>
    <x v="42"/>
    <x v="42"/>
    <x v="1"/>
    <x v="2"/>
    <x v="0"/>
    <s v="No"/>
    <s v="Y"/>
    <n v="2"/>
    <n v="-2"/>
    <n v="0"/>
    <x v="25"/>
    <x v="0"/>
    <n v="1"/>
    <n v="1"/>
    <n v="0"/>
    <n v="1357"/>
    <n v="25"/>
    <x v="3"/>
    <n v="1"/>
    <n v="1"/>
    <n v="48"/>
    <n v="1"/>
    <n v="1"/>
    <n v="2"/>
    <n v="2293"/>
    <n v="10558"/>
    <n v="1"/>
    <n v="12"/>
    <n v="3"/>
    <n v="3"/>
    <n v="80"/>
    <n v="0"/>
    <n v="1"/>
    <n v="2"/>
    <n v="1"/>
    <n v="0"/>
    <n v="0"/>
    <n v="1"/>
  </r>
  <r>
    <s v="No"/>
    <s v="Travel_Frequently"/>
    <x v="2"/>
    <s v="Current Employees"/>
    <x v="0"/>
    <x v="0"/>
    <x v="43"/>
    <x v="43"/>
    <x v="1"/>
    <x v="0"/>
    <x v="0"/>
    <s v="No"/>
    <s v="Y"/>
    <n v="0"/>
    <n v="-2"/>
    <n v="0"/>
    <x v="4"/>
    <x v="1"/>
    <m/>
    <n v="0"/>
    <n v="1"/>
    <n v="994"/>
    <n v="8"/>
    <x v="3"/>
    <n v="1"/>
    <n v="4"/>
    <n v="37"/>
    <n v="3"/>
    <n v="3"/>
    <n v="2"/>
    <n v="8726"/>
    <n v="2975"/>
    <n v="1"/>
    <n v="15"/>
    <n v="3"/>
    <n v="4"/>
    <n v="80"/>
    <n v="0"/>
    <n v="9"/>
    <n v="3"/>
    <n v="9"/>
    <n v="8"/>
    <n v="1"/>
    <n v="7"/>
  </r>
  <r>
    <s v="No"/>
    <s v="Travel_Frequently"/>
    <x v="2"/>
    <s v="Current Employees"/>
    <x v="1"/>
    <x v="2"/>
    <x v="44"/>
    <x v="44"/>
    <x v="0"/>
    <x v="2"/>
    <x v="0"/>
    <s v="No"/>
    <s v="Y"/>
    <n v="2"/>
    <n v="-2"/>
    <n v="0"/>
    <x v="7"/>
    <x v="1"/>
    <m/>
    <n v="0"/>
    <n v="1"/>
    <n v="721"/>
    <n v="1"/>
    <x v="0"/>
    <n v="1"/>
    <n v="3"/>
    <n v="58"/>
    <n v="3"/>
    <n v="2"/>
    <n v="4"/>
    <n v="4011"/>
    <n v="10781"/>
    <n v="1"/>
    <n v="23"/>
    <n v="4"/>
    <n v="4"/>
    <n v="80"/>
    <n v="0"/>
    <n v="12"/>
    <n v="3"/>
    <n v="12"/>
    <n v="8"/>
    <n v="3"/>
    <n v="7"/>
  </r>
  <r>
    <s v="Yes"/>
    <s v="Travel_Rarely"/>
    <x v="0"/>
    <s v="Ex-Employees"/>
    <x v="1"/>
    <x v="4"/>
    <x v="45"/>
    <x v="45"/>
    <x v="0"/>
    <x v="7"/>
    <x v="1"/>
    <s v="No"/>
    <s v="Y"/>
    <n v="0"/>
    <n v="-2"/>
    <n v="0"/>
    <x v="0"/>
    <x v="0"/>
    <n v="1"/>
    <n v="1"/>
    <n v="0"/>
    <n v="1360"/>
    <n v="12"/>
    <x v="3"/>
    <n v="1"/>
    <n v="2"/>
    <n v="49"/>
    <n v="3"/>
    <n v="5"/>
    <n v="3"/>
    <n v="19545"/>
    <n v="16280"/>
    <n v="1"/>
    <n v="12"/>
    <n v="3"/>
    <n v="4"/>
    <n v="80"/>
    <n v="0"/>
    <n v="23"/>
    <n v="3"/>
    <n v="22"/>
    <n v="15"/>
    <n v="15"/>
    <n v="8"/>
  </r>
  <r>
    <s v="No"/>
    <s v="Non-Travel"/>
    <x v="2"/>
    <s v="Current Employees"/>
    <x v="0"/>
    <x v="3"/>
    <x v="46"/>
    <x v="46"/>
    <x v="1"/>
    <x v="0"/>
    <x v="0"/>
    <s v="No"/>
    <s v="Y"/>
    <n v="2"/>
    <n v="-2"/>
    <n v="0"/>
    <x v="13"/>
    <x v="1"/>
    <m/>
    <n v="0"/>
    <n v="1"/>
    <n v="1065"/>
    <n v="23"/>
    <x v="2"/>
    <n v="1"/>
    <n v="2"/>
    <n v="72"/>
    <n v="3"/>
    <n v="2"/>
    <n v="3"/>
    <n v="4568"/>
    <n v="10034"/>
    <n v="0"/>
    <n v="20"/>
    <n v="4"/>
    <n v="3"/>
    <n v="80"/>
    <n v="0"/>
    <n v="10"/>
    <n v="3"/>
    <n v="9"/>
    <n v="5"/>
    <n v="8"/>
    <n v="7"/>
  </r>
  <r>
    <s v="No"/>
    <s v="Travel_Rarely"/>
    <x v="0"/>
    <s v="Current Employees"/>
    <x v="1"/>
    <x v="0"/>
    <x v="47"/>
    <x v="47"/>
    <x v="1"/>
    <x v="1"/>
    <x v="1"/>
    <s v="No"/>
    <s v="Y"/>
    <n v="1"/>
    <n v="-2"/>
    <n v="0"/>
    <x v="2"/>
    <x v="1"/>
    <m/>
    <n v="0"/>
    <n v="1"/>
    <n v="408"/>
    <n v="19"/>
    <x v="0"/>
    <n v="1"/>
    <n v="2"/>
    <n v="73"/>
    <n v="3"/>
    <n v="1"/>
    <n v="2"/>
    <n v="3022"/>
    <n v="10227"/>
    <n v="4"/>
    <n v="21"/>
    <n v="4"/>
    <n v="1"/>
    <n v="80"/>
    <n v="0"/>
    <n v="8"/>
    <n v="3"/>
    <n v="1"/>
    <n v="0"/>
    <n v="0"/>
    <n v="0"/>
  </r>
  <r>
    <s v="No"/>
    <s v="Travel_Frequently"/>
    <x v="1"/>
    <s v="Current Employees"/>
    <x v="0"/>
    <x v="3"/>
    <x v="48"/>
    <x v="48"/>
    <x v="1"/>
    <x v="0"/>
    <x v="0"/>
    <s v="Yes"/>
    <s v="Y"/>
    <n v="4"/>
    <n v="-2"/>
    <n v="0"/>
    <x v="21"/>
    <x v="1"/>
    <m/>
    <n v="0"/>
    <n v="1"/>
    <n v="1211"/>
    <n v="5"/>
    <x v="2"/>
    <n v="1"/>
    <n v="1"/>
    <n v="98"/>
    <n v="3"/>
    <n v="2"/>
    <n v="4"/>
    <n v="5772"/>
    <n v="20445"/>
    <n v="4"/>
    <n v="21"/>
    <n v="4"/>
    <n v="3"/>
    <n v="80"/>
    <n v="0"/>
    <n v="14"/>
    <n v="3"/>
    <n v="9"/>
    <n v="6"/>
    <n v="0"/>
    <n v="8"/>
  </r>
  <r>
    <s v="No"/>
    <s v="Travel_Rarely"/>
    <x v="0"/>
    <s v="Current Employees"/>
    <x v="1"/>
    <x v="0"/>
    <x v="49"/>
    <x v="49"/>
    <x v="1"/>
    <x v="2"/>
    <x v="1"/>
    <s v="No"/>
    <s v="Y"/>
    <n v="2"/>
    <n v="-2"/>
    <n v="0"/>
    <x v="10"/>
    <x v="1"/>
    <m/>
    <n v="0"/>
    <n v="1"/>
    <n v="1229"/>
    <n v="8"/>
    <x v="1"/>
    <n v="1"/>
    <n v="4"/>
    <n v="36"/>
    <n v="4"/>
    <n v="1"/>
    <n v="2"/>
    <n v="2269"/>
    <n v="4892"/>
    <n v="1"/>
    <n v="19"/>
    <n v="3"/>
    <n v="4"/>
    <n v="80"/>
    <n v="0"/>
    <n v="1"/>
    <n v="3"/>
    <n v="1"/>
    <n v="0"/>
    <n v="0"/>
    <n v="1"/>
  </r>
  <r>
    <s v="Yes"/>
    <s v="Travel_Rarely"/>
    <x v="1"/>
    <s v="Ex-Employees"/>
    <x v="1"/>
    <x v="0"/>
    <x v="50"/>
    <x v="50"/>
    <x v="1"/>
    <x v="2"/>
    <x v="0"/>
    <s v="Yes"/>
    <s v="Y"/>
    <n v="2"/>
    <n v="-2"/>
    <n v="0"/>
    <x v="26"/>
    <x v="0"/>
    <n v="1"/>
    <n v="1"/>
    <n v="0"/>
    <n v="626"/>
    <n v="1"/>
    <x v="0"/>
    <n v="1"/>
    <n v="1"/>
    <n v="98"/>
    <n v="2"/>
    <n v="3"/>
    <n v="2"/>
    <n v="5381"/>
    <n v="19294"/>
    <n v="9"/>
    <n v="13"/>
    <n v="3"/>
    <n v="4"/>
    <n v="80"/>
    <n v="0"/>
    <n v="23"/>
    <n v="3"/>
    <n v="1"/>
    <n v="0"/>
    <n v="0"/>
    <n v="0"/>
  </r>
  <r>
    <s v="Yes"/>
    <s v="Travel_Rarely"/>
    <x v="2"/>
    <s v="Ex-Employees"/>
    <x v="1"/>
    <x v="4"/>
    <x v="51"/>
    <x v="51"/>
    <x v="1"/>
    <x v="2"/>
    <x v="0"/>
    <s v="Yes"/>
    <s v="Y"/>
    <n v="3"/>
    <n v="-2"/>
    <n v="0"/>
    <x v="14"/>
    <x v="0"/>
    <n v="1"/>
    <n v="1"/>
    <n v="0"/>
    <n v="1434"/>
    <n v="5"/>
    <x v="2"/>
    <n v="1"/>
    <n v="3"/>
    <n v="50"/>
    <n v="3"/>
    <n v="1"/>
    <n v="3"/>
    <n v="3441"/>
    <n v="11179"/>
    <n v="1"/>
    <n v="13"/>
    <n v="3"/>
    <n v="3"/>
    <n v="80"/>
    <n v="0"/>
    <n v="2"/>
    <n v="2"/>
    <n v="2"/>
    <n v="2"/>
    <n v="2"/>
    <n v="2"/>
  </r>
  <r>
    <s v="No"/>
    <s v="Travel_Rarely"/>
    <x v="0"/>
    <s v="Current Employees"/>
    <x v="0"/>
    <x v="3"/>
    <x v="52"/>
    <x v="52"/>
    <x v="0"/>
    <x v="0"/>
    <x v="2"/>
    <s v="Yes"/>
    <s v="Y"/>
    <n v="2"/>
    <n v="-2"/>
    <n v="0"/>
    <x v="20"/>
    <x v="1"/>
    <m/>
    <n v="0"/>
    <n v="1"/>
    <n v="1488"/>
    <n v="1"/>
    <x v="4"/>
    <n v="1"/>
    <n v="2"/>
    <n v="75"/>
    <n v="3"/>
    <n v="2"/>
    <n v="4"/>
    <n v="5454"/>
    <n v="4009"/>
    <n v="5"/>
    <n v="21"/>
    <n v="4"/>
    <n v="3"/>
    <n v="80"/>
    <n v="1"/>
    <n v="9"/>
    <n v="2"/>
    <n v="4"/>
    <n v="3"/>
    <n v="1"/>
    <n v="3"/>
  </r>
  <r>
    <s v="No"/>
    <s v="Non-Travel"/>
    <x v="0"/>
    <s v="Current Employees"/>
    <x v="1"/>
    <x v="2"/>
    <x v="53"/>
    <x v="53"/>
    <x v="1"/>
    <x v="4"/>
    <x v="1"/>
    <s v="Yes"/>
    <s v="Y"/>
    <n v="3"/>
    <n v="-2"/>
    <n v="0"/>
    <x v="10"/>
    <x v="1"/>
    <m/>
    <n v="0"/>
    <n v="1"/>
    <n v="1097"/>
    <n v="11"/>
    <x v="0"/>
    <n v="1"/>
    <n v="3"/>
    <n v="79"/>
    <n v="2"/>
    <n v="3"/>
    <n v="4"/>
    <n v="9884"/>
    <n v="8302"/>
    <n v="2"/>
    <n v="13"/>
    <n v="3"/>
    <n v="3"/>
    <n v="80"/>
    <n v="1"/>
    <n v="10"/>
    <n v="3"/>
    <n v="4"/>
    <n v="0"/>
    <n v="2"/>
    <n v="3"/>
  </r>
  <r>
    <s v="No"/>
    <s v="Travel_Rarely"/>
    <x v="2"/>
    <s v="Current Employees"/>
    <x v="0"/>
    <x v="3"/>
    <x v="54"/>
    <x v="54"/>
    <x v="0"/>
    <x v="0"/>
    <x v="1"/>
    <s v="Yes"/>
    <s v="Y"/>
    <n v="2"/>
    <n v="-2"/>
    <n v="0"/>
    <x v="25"/>
    <x v="1"/>
    <m/>
    <n v="0"/>
    <n v="1"/>
    <n v="1443"/>
    <n v="23"/>
    <x v="3"/>
    <n v="1"/>
    <n v="3"/>
    <n v="47"/>
    <n v="2"/>
    <n v="2"/>
    <n v="4"/>
    <n v="4157"/>
    <n v="21436"/>
    <n v="7"/>
    <n v="19"/>
    <n v="3"/>
    <n v="3"/>
    <n v="80"/>
    <n v="1"/>
    <n v="5"/>
    <n v="2"/>
    <n v="2"/>
    <n v="2"/>
    <n v="0"/>
    <n v="0"/>
  </r>
  <r>
    <s v="No"/>
    <s v="Travel_Frequently"/>
    <x v="2"/>
    <s v="Current Employees"/>
    <x v="1"/>
    <x v="0"/>
    <x v="55"/>
    <x v="55"/>
    <x v="0"/>
    <x v="7"/>
    <x v="0"/>
    <s v="Yes"/>
    <s v="Y"/>
    <n v="1"/>
    <n v="-2"/>
    <n v="0"/>
    <x v="3"/>
    <x v="1"/>
    <m/>
    <n v="0"/>
    <n v="1"/>
    <n v="515"/>
    <n v="1"/>
    <x v="0"/>
    <n v="1"/>
    <n v="1"/>
    <n v="98"/>
    <n v="3"/>
    <n v="3"/>
    <n v="2"/>
    <n v="13458"/>
    <n v="15146"/>
    <n v="1"/>
    <n v="12"/>
    <n v="3"/>
    <n v="3"/>
    <n v="80"/>
    <n v="0"/>
    <n v="15"/>
    <n v="3"/>
    <n v="15"/>
    <n v="14"/>
    <n v="8"/>
    <n v="12"/>
  </r>
  <r>
    <s v="No"/>
    <s v="Travel_Frequently"/>
    <x v="0"/>
    <s v="Current Employees"/>
    <x v="0"/>
    <x v="0"/>
    <x v="56"/>
    <x v="56"/>
    <x v="1"/>
    <x v="0"/>
    <x v="1"/>
    <s v="No"/>
    <s v="Y"/>
    <n v="3"/>
    <n v="-2"/>
    <n v="0"/>
    <x v="10"/>
    <x v="1"/>
    <m/>
    <n v="0"/>
    <n v="1"/>
    <n v="853"/>
    <n v="18"/>
    <x v="4"/>
    <n v="1"/>
    <n v="2"/>
    <n v="71"/>
    <n v="3"/>
    <n v="3"/>
    <n v="2"/>
    <n v="9069"/>
    <n v="11031"/>
    <n v="1"/>
    <n v="22"/>
    <n v="4"/>
    <n v="4"/>
    <n v="80"/>
    <n v="1"/>
    <n v="9"/>
    <n v="2"/>
    <n v="9"/>
    <n v="8"/>
    <n v="1"/>
    <n v="8"/>
  </r>
  <r>
    <s v="No"/>
    <s v="Travel_Rarely"/>
    <x v="0"/>
    <s v="Current Employees"/>
    <x v="1"/>
    <x v="2"/>
    <x v="57"/>
    <x v="57"/>
    <x v="0"/>
    <x v="2"/>
    <x v="1"/>
    <s v="Yes"/>
    <s v="Y"/>
    <n v="3"/>
    <n v="-2"/>
    <n v="0"/>
    <x v="10"/>
    <x v="1"/>
    <m/>
    <n v="0"/>
    <n v="1"/>
    <n v="1142"/>
    <n v="23"/>
    <x v="2"/>
    <n v="1"/>
    <n v="3"/>
    <n v="30"/>
    <n v="3"/>
    <n v="1"/>
    <n v="4"/>
    <n v="4014"/>
    <n v="16002"/>
    <n v="3"/>
    <n v="15"/>
    <n v="3"/>
    <n v="3"/>
    <n v="80"/>
    <n v="1"/>
    <n v="4"/>
    <n v="3"/>
    <n v="2"/>
    <n v="2"/>
    <n v="2"/>
    <n v="2"/>
  </r>
  <r>
    <s v="No"/>
    <s v="Travel_Rarely"/>
    <x v="2"/>
    <s v="Current Employees"/>
    <x v="1"/>
    <x v="0"/>
    <x v="58"/>
    <x v="58"/>
    <x v="1"/>
    <x v="2"/>
    <x v="2"/>
    <s v="No"/>
    <s v="Y"/>
    <n v="3"/>
    <n v="-2"/>
    <n v="0"/>
    <x v="12"/>
    <x v="1"/>
    <m/>
    <n v="0"/>
    <n v="1"/>
    <n v="655"/>
    <n v="7"/>
    <x v="2"/>
    <n v="1"/>
    <n v="4"/>
    <n v="48"/>
    <n v="3"/>
    <n v="2"/>
    <n v="2"/>
    <n v="5915"/>
    <n v="9528"/>
    <n v="3"/>
    <n v="22"/>
    <n v="4"/>
    <n v="4"/>
    <n v="80"/>
    <n v="1"/>
    <n v="10"/>
    <n v="2"/>
    <n v="7"/>
    <n v="7"/>
    <n v="1"/>
    <n v="7"/>
  </r>
  <r>
    <s v="No"/>
    <s v="Travel_Rarely"/>
    <x v="0"/>
    <s v="Current Employees"/>
    <x v="1"/>
    <x v="0"/>
    <x v="59"/>
    <x v="59"/>
    <x v="1"/>
    <x v="3"/>
    <x v="2"/>
    <s v="No"/>
    <s v="Y"/>
    <n v="2"/>
    <n v="-2"/>
    <n v="0"/>
    <x v="2"/>
    <x v="1"/>
    <m/>
    <n v="0"/>
    <n v="1"/>
    <n v="1115"/>
    <n v="1"/>
    <x v="2"/>
    <n v="1"/>
    <n v="1"/>
    <n v="51"/>
    <n v="2"/>
    <n v="2"/>
    <n v="2"/>
    <n v="5993"/>
    <n v="2689"/>
    <n v="1"/>
    <n v="18"/>
    <n v="3"/>
    <n v="3"/>
    <n v="80"/>
    <n v="1"/>
    <n v="7"/>
    <n v="4"/>
    <n v="7"/>
    <n v="5"/>
    <n v="0"/>
    <n v="7"/>
  </r>
  <r>
    <s v="No"/>
    <s v="Travel_Rarely"/>
    <x v="2"/>
    <s v="Current Employees"/>
    <x v="1"/>
    <x v="2"/>
    <x v="60"/>
    <x v="60"/>
    <x v="1"/>
    <x v="3"/>
    <x v="1"/>
    <s v="Yes"/>
    <s v="Y"/>
    <n v="3"/>
    <n v="-2"/>
    <n v="0"/>
    <x v="5"/>
    <x v="1"/>
    <m/>
    <n v="0"/>
    <n v="1"/>
    <n v="427"/>
    <n v="1"/>
    <x v="3"/>
    <n v="1"/>
    <n v="1"/>
    <n v="33"/>
    <n v="3"/>
    <n v="2"/>
    <n v="4"/>
    <n v="6162"/>
    <n v="10877"/>
    <n v="1"/>
    <n v="22"/>
    <n v="4"/>
    <n v="2"/>
    <n v="80"/>
    <n v="1"/>
    <n v="9"/>
    <n v="3"/>
    <n v="9"/>
    <n v="8"/>
    <n v="7"/>
    <n v="8"/>
  </r>
  <r>
    <s v="No"/>
    <s v="Travel_Frequently"/>
    <x v="0"/>
    <s v="Current Employees"/>
    <x v="1"/>
    <x v="0"/>
    <x v="61"/>
    <x v="61"/>
    <x v="0"/>
    <x v="2"/>
    <x v="0"/>
    <s v="No"/>
    <s v="Y"/>
    <n v="2"/>
    <n v="-2"/>
    <n v="0"/>
    <x v="8"/>
    <x v="1"/>
    <m/>
    <n v="0"/>
    <n v="1"/>
    <n v="653"/>
    <n v="29"/>
    <x v="4"/>
    <n v="1"/>
    <n v="4"/>
    <n v="50"/>
    <n v="3"/>
    <n v="2"/>
    <n v="2"/>
    <n v="2406"/>
    <n v="5456"/>
    <n v="1"/>
    <n v="11"/>
    <n v="3"/>
    <n v="4"/>
    <n v="80"/>
    <n v="0"/>
    <n v="10"/>
    <n v="3"/>
    <n v="10"/>
    <n v="3"/>
    <n v="9"/>
    <n v="9"/>
  </r>
  <r>
    <s v="No"/>
    <s v="Travel_Rarely"/>
    <x v="1"/>
    <s v="Current Employees"/>
    <x v="1"/>
    <x v="2"/>
    <x v="62"/>
    <x v="62"/>
    <x v="0"/>
    <x v="7"/>
    <x v="2"/>
    <s v="Yes"/>
    <s v="Y"/>
    <n v="2"/>
    <n v="-2"/>
    <n v="0"/>
    <x v="24"/>
    <x v="1"/>
    <m/>
    <n v="0"/>
    <n v="1"/>
    <n v="989"/>
    <n v="7"/>
    <x v="0"/>
    <n v="1"/>
    <n v="2"/>
    <n v="43"/>
    <n v="2"/>
    <n v="5"/>
    <n v="3"/>
    <n v="18740"/>
    <n v="16701"/>
    <n v="5"/>
    <n v="12"/>
    <n v="3"/>
    <n v="4"/>
    <n v="80"/>
    <n v="1"/>
    <n v="29"/>
    <n v="2"/>
    <n v="27"/>
    <n v="3"/>
    <n v="13"/>
    <n v="8"/>
  </r>
  <r>
    <s v="No"/>
    <s v="Travel_Rarely"/>
    <x v="3"/>
    <s v="Current Employees"/>
    <x v="0"/>
    <x v="0"/>
    <x v="63"/>
    <x v="63"/>
    <x v="0"/>
    <x v="0"/>
    <x v="0"/>
    <s v="No"/>
    <s v="Y"/>
    <n v="3"/>
    <n v="-2"/>
    <n v="0"/>
    <x v="6"/>
    <x v="1"/>
    <m/>
    <n v="0"/>
    <n v="1"/>
    <n v="1435"/>
    <n v="25"/>
    <x v="3"/>
    <n v="1"/>
    <n v="1"/>
    <n v="99"/>
    <n v="3"/>
    <n v="3"/>
    <n v="2"/>
    <n v="7637"/>
    <n v="2354"/>
    <n v="7"/>
    <n v="11"/>
    <n v="3"/>
    <n v="4"/>
    <n v="80"/>
    <n v="0"/>
    <n v="28"/>
    <n v="2"/>
    <n v="21"/>
    <n v="16"/>
    <n v="7"/>
    <n v="9"/>
  </r>
  <r>
    <s v="No"/>
    <s v="Travel_Rarely"/>
    <x v="0"/>
    <s v="Current Employees"/>
    <x v="1"/>
    <x v="4"/>
    <x v="64"/>
    <x v="64"/>
    <x v="0"/>
    <x v="4"/>
    <x v="2"/>
    <s v="No"/>
    <s v="Y"/>
    <n v="2"/>
    <n v="-2"/>
    <n v="0"/>
    <x v="9"/>
    <x v="1"/>
    <m/>
    <n v="0"/>
    <n v="1"/>
    <n v="1223"/>
    <n v="8"/>
    <x v="3"/>
    <n v="1"/>
    <n v="3"/>
    <n v="59"/>
    <n v="3"/>
    <n v="3"/>
    <n v="3"/>
    <n v="10096"/>
    <n v="8202"/>
    <n v="1"/>
    <n v="13"/>
    <n v="3"/>
    <n v="2"/>
    <n v="80"/>
    <n v="3"/>
    <n v="17"/>
    <n v="3"/>
    <n v="17"/>
    <n v="14"/>
    <n v="12"/>
    <n v="8"/>
  </r>
  <r>
    <s v="No"/>
    <s v="Travel_Rarely"/>
    <x v="3"/>
    <s v="Current Employees"/>
    <x v="1"/>
    <x v="2"/>
    <x v="65"/>
    <x v="65"/>
    <x v="0"/>
    <x v="5"/>
    <x v="2"/>
    <s v="Yes"/>
    <s v="Y"/>
    <n v="2"/>
    <n v="-2"/>
    <n v="0"/>
    <x v="27"/>
    <x v="1"/>
    <m/>
    <n v="0"/>
    <n v="1"/>
    <n v="836"/>
    <n v="8"/>
    <x v="3"/>
    <n v="1"/>
    <n v="4"/>
    <n v="33"/>
    <n v="3"/>
    <n v="4"/>
    <n v="3"/>
    <n v="14756"/>
    <n v="19730"/>
    <n v="2"/>
    <n v="14"/>
    <n v="3"/>
    <n v="3"/>
    <n v="80"/>
    <n v="3"/>
    <n v="21"/>
    <n v="3"/>
    <n v="5"/>
    <n v="0"/>
    <n v="0"/>
    <n v="2"/>
  </r>
  <r>
    <s v="No"/>
    <s v="Travel_Frequently"/>
    <x v="0"/>
    <s v="Current Employees"/>
    <x v="1"/>
    <x v="0"/>
    <x v="66"/>
    <x v="66"/>
    <x v="1"/>
    <x v="3"/>
    <x v="0"/>
    <s v="No"/>
    <s v="Y"/>
    <n v="3"/>
    <n v="-2"/>
    <n v="0"/>
    <x v="9"/>
    <x v="1"/>
    <m/>
    <n v="0"/>
    <n v="1"/>
    <n v="1195"/>
    <n v="11"/>
    <x v="3"/>
    <n v="1"/>
    <n v="2"/>
    <n v="95"/>
    <n v="2"/>
    <n v="2"/>
    <n v="2"/>
    <n v="6499"/>
    <n v="22656"/>
    <n v="1"/>
    <n v="13"/>
    <n v="3"/>
    <n v="3"/>
    <n v="80"/>
    <n v="0"/>
    <n v="6"/>
    <n v="3"/>
    <n v="6"/>
    <n v="5"/>
    <n v="0"/>
    <n v="3"/>
  </r>
  <r>
    <s v="No"/>
    <s v="Travel_Rarely"/>
    <x v="1"/>
    <s v="Current Employees"/>
    <x v="1"/>
    <x v="0"/>
    <x v="67"/>
    <x v="67"/>
    <x v="1"/>
    <x v="1"/>
    <x v="2"/>
    <s v="No"/>
    <s v="Y"/>
    <n v="2"/>
    <n v="-2"/>
    <n v="0"/>
    <x v="28"/>
    <x v="1"/>
    <m/>
    <n v="0"/>
    <n v="1"/>
    <n v="1339"/>
    <n v="7"/>
    <x v="3"/>
    <n v="1"/>
    <n v="2"/>
    <n v="59"/>
    <n v="3"/>
    <n v="3"/>
    <n v="2"/>
    <n v="9724"/>
    <n v="18787"/>
    <n v="2"/>
    <n v="17"/>
    <n v="3"/>
    <n v="3"/>
    <n v="80"/>
    <n v="1"/>
    <n v="25"/>
    <n v="3"/>
    <n v="1"/>
    <n v="0"/>
    <n v="0"/>
    <n v="0"/>
  </r>
  <r>
    <s v="No"/>
    <s v="Travel_Frequently"/>
    <x v="0"/>
    <s v="Current Employees"/>
    <x v="1"/>
    <x v="2"/>
    <x v="68"/>
    <x v="68"/>
    <x v="1"/>
    <x v="1"/>
    <x v="1"/>
    <s v="No"/>
    <s v="Y"/>
    <n v="2"/>
    <n v="-2"/>
    <n v="0"/>
    <x v="10"/>
    <x v="1"/>
    <m/>
    <n v="0"/>
    <n v="1"/>
    <n v="664"/>
    <n v="1"/>
    <x v="3"/>
    <n v="1"/>
    <n v="2"/>
    <n v="79"/>
    <n v="3"/>
    <n v="1"/>
    <n v="4"/>
    <n v="2194"/>
    <n v="5868"/>
    <n v="4"/>
    <n v="13"/>
    <n v="3"/>
    <n v="4"/>
    <n v="80"/>
    <n v="1"/>
    <n v="5"/>
    <n v="2"/>
    <n v="3"/>
    <n v="2"/>
    <n v="1"/>
    <n v="2"/>
  </r>
  <r>
    <s v="Yes"/>
    <s v="Travel_Rarely"/>
    <x v="0"/>
    <s v="Ex-Employees"/>
    <x v="1"/>
    <x v="2"/>
    <x v="69"/>
    <x v="69"/>
    <x v="1"/>
    <x v="1"/>
    <x v="1"/>
    <s v="Yes"/>
    <s v="Y"/>
    <n v="0"/>
    <n v="-2"/>
    <n v="0"/>
    <x v="9"/>
    <x v="0"/>
    <n v="1"/>
    <n v="1"/>
    <n v="0"/>
    <n v="318"/>
    <n v="9"/>
    <x v="3"/>
    <n v="1"/>
    <n v="4"/>
    <n v="79"/>
    <n v="2"/>
    <n v="1"/>
    <n v="3"/>
    <n v="3388"/>
    <n v="21777"/>
    <n v="0"/>
    <n v="17"/>
    <n v="3"/>
    <n v="1"/>
    <n v="80"/>
    <n v="1"/>
    <n v="2"/>
    <n v="2"/>
    <n v="1"/>
    <n v="0"/>
    <n v="0"/>
    <n v="0"/>
  </r>
  <r>
    <s v="No"/>
    <s v="Travel_Frequently"/>
    <x v="3"/>
    <s v="Current Employees"/>
    <x v="0"/>
    <x v="0"/>
    <x v="70"/>
    <x v="70"/>
    <x v="0"/>
    <x v="0"/>
    <x v="0"/>
    <s v="No"/>
    <s v="Y"/>
    <n v="2"/>
    <n v="-2"/>
    <n v="0"/>
    <x v="6"/>
    <x v="1"/>
    <m/>
    <n v="0"/>
    <n v="1"/>
    <n v="1225"/>
    <n v="1"/>
    <x v="1"/>
    <n v="1"/>
    <n v="1"/>
    <n v="57"/>
    <n v="2"/>
    <n v="2"/>
    <n v="2"/>
    <n v="5473"/>
    <n v="24668"/>
    <n v="7"/>
    <n v="11"/>
    <n v="3"/>
    <n v="4"/>
    <n v="80"/>
    <n v="0"/>
    <n v="20"/>
    <n v="2"/>
    <n v="4"/>
    <n v="3"/>
    <n v="1"/>
    <n v="3"/>
  </r>
  <r>
    <s v="No"/>
    <s v="Travel_Rarely"/>
    <x v="2"/>
    <s v="Current Employees"/>
    <x v="1"/>
    <x v="0"/>
    <x v="71"/>
    <x v="71"/>
    <x v="1"/>
    <x v="1"/>
    <x v="1"/>
    <s v="No"/>
    <s v="Y"/>
    <n v="3"/>
    <n v="-2"/>
    <n v="0"/>
    <x v="11"/>
    <x v="1"/>
    <m/>
    <n v="0"/>
    <n v="1"/>
    <n v="1328"/>
    <n v="2"/>
    <x v="3"/>
    <n v="1"/>
    <n v="3"/>
    <n v="76"/>
    <n v="3"/>
    <n v="1"/>
    <n v="2"/>
    <n v="2703"/>
    <n v="4956"/>
    <n v="0"/>
    <n v="23"/>
    <n v="4"/>
    <n v="4"/>
    <n v="80"/>
    <n v="1"/>
    <n v="6"/>
    <n v="3"/>
    <n v="5"/>
    <n v="4"/>
    <n v="0"/>
    <n v="4"/>
  </r>
  <r>
    <s v="No"/>
    <s v="Travel_Rarely"/>
    <x v="2"/>
    <s v="Current Employees"/>
    <x v="1"/>
    <x v="2"/>
    <x v="72"/>
    <x v="72"/>
    <x v="1"/>
    <x v="1"/>
    <x v="0"/>
    <s v="No"/>
    <s v="Y"/>
    <n v="4"/>
    <n v="-2"/>
    <n v="0"/>
    <x v="12"/>
    <x v="1"/>
    <m/>
    <n v="0"/>
    <n v="1"/>
    <n v="1082"/>
    <n v="1"/>
    <x v="2"/>
    <n v="1"/>
    <n v="3"/>
    <n v="87"/>
    <n v="3"/>
    <n v="1"/>
    <n v="3"/>
    <n v="2501"/>
    <n v="18775"/>
    <n v="1"/>
    <n v="17"/>
    <n v="3"/>
    <n v="2"/>
    <n v="80"/>
    <n v="0"/>
    <n v="1"/>
    <n v="3"/>
    <n v="1"/>
    <n v="1"/>
    <n v="1"/>
    <n v="0"/>
  </r>
  <r>
    <s v="No"/>
    <s v="Travel_Rarely"/>
    <x v="2"/>
    <s v="Current Employees"/>
    <x v="1"/>
    <x v="0"/>
    <x v="73"/>
    <x v="73"/>
    <x v="1"/>
    <x v="1"/>
    <x v="1"/>
    <s v="No"/>
    <s v="Y"/>
    <n v="3"/>
    <n v="-2"/>
    <n v="0"/>
    <x v="5"/>
    <x v="1"/>
    <m/>
    <n v="0"/>
    <n v="1"/>
    <n v="548"/>
    <n v="1"/>
    <x v="3"/>
    <n v="1"/>
    <n v="2"/>
    <n v="66"/>
    <n v="3"/>
    <n v="2"/>
    <n v="2"/>
    <n v="6220"/>
    <n v="7346"/>
    <n v="1"/>
    <n v="17"/>
    <n v="3"/>
    <n v="2"/>
    <n v="80"/>
    <n v="2"/>
    <n v="10"/>
    <n v="3"/>
    <n v="10"/>
    <n v="4"/>
    <n v="0"/>
    <n v="9"/>
  </r>
  <r>
    <s v="No"/>
    <s v="Travel_Rarely"/>
    <x v="0"/>
    <s v="Current Employees"/>
    <x v="1"/>
    <x v="0"/>
    <x v="74"/>
    <x v="74"/>
    <x v="0"/>
    <x v="2"/>
    <x v="1"/>
    <s v="No"/>
    <s v="Y"/>
    <n v="3"/>
    <n v="-2"/>
    <n v="0"/>
    <x v="9"/>
    <x v="1"/>
    <m/>
    <n v="0"/>
    <n v="1"/>
    <n v="132"/>
    <n v="6"/>
    <x v="3"/>
    <n v="1"/>
    <n v="2"/>
    <n v="55"/>
    <n v="4"/>
    <n v="1"/>
    <n v="2"/>
    <n v="3038"/>
    <n v="22002"/>
    <n v="3"/>
    <n v="12"/>
    <n v="3"/>
    <n v="2"/>
    <n v="80"/>
    <n v="0"/>
    <n v="5"/>
    <n v="3"/>
    <n v="1"/>
    <n v="0"/>
    <n v="0"/>
    <n v="0"/>
  </r>
  <r>
    <s v="No"/>
    <s v="Travel_Rarely"/>
    <x v="2"/>
    <s v="Current Employees"/>
    <x v="1"/>
    <x v="0"/>
    <x v="75"/>
    <x v="75"/>
    <x v="0"/>
    <x v="3"/>
    <x v="0"/>
    <s v="No"/>
    <s v="Y"/>
    <n v="2"/>
    <n v="-2"/>
    <n v="0"/>
    <x v="12"/>
    <x v="1"/>
    <m/>
    <n v="0"/>
    <n v="1"/>
    <n v="746"/>
    <n v="8"/>
    <x v="2"/>
    <n v="1"/>
    <n v="3"/>
    <n v="61"/>
    <n v="3"/>
    <n v="2"/>
    <n v="2"/>
    <n v="4424"/>
    <n v="20682"/>
    <n v="1"/>
    <n v="23"/>
    <n v="4"/>
    <n v="4"/>
    <n v="80"/>
    <n v="0"/>
    <n v="11"/>
    <n v="3"/>
    <n v="11"/>
    <n v="7"/>
    <n v="1"/>
    <n v="8"/>
  </r>
  <r>
    <s v="No"/>
    <s v="Travel_Rarely"/>
    <x v="0"/>
    <s v="Current Employees"/>
    <x v="0"/>
    <x v="3"/>
    <x v="76"/>
    <x v="76"/>
    <x v="1"/>
    <x v="0"/>
    <x v="0"/>
    <s v="No"/>
    <s v="Y"/>
    <n v="2"/>
    <n v="-2"/>
    <n v="0"/>
    <x v="10"/>
    <x v="1"/>
    <m/>
    <n v="0"/>
    <n v="1"/>
    <n v="776"/>
    <n v="1"/>
    <x v="2"/>
    <n v="1"/>
    <n v="3"/>
    <n v="32"/>
    <n v="2"/>
    <n v="2"/>
    <n v="4"/>
    <n v="4312"/>
    <n v="23016"/>
    <n v="0"/>
    <n v="14"/>
    <n v="3"/>
    <n v="2"/>
    <n v="80"/>
    <n v="0"/>
    <n v="16"/>
    <n v="3"/>
    <n v="15"/>
    <n v="13"/>
    <n v="2"/>
    <n v="8"/>
  </r>
  <r>
    <s v="No"/>
    <s v="Travel_Rarely"/>
    <x v="1"/>
    <s v="Current Employees"/>
    <x v="1"/>
    <x v="1"/>
    <x v="77"/>
    <x v="77"/>
    <x v="1"/>
    <x v="7"/>
    <x v="1"/>
    <s v="Yes"/>
    <s v="Y"/>
    <n v="3"/>
    <n v="-2"/>
    <n v="0"/>
    <x v="28"/>
    <x v="1"/>
    <m/>
    <n v="0"/>
    <n v="1"/>
    <n v="193"/>
    <n v="6"/>
    <x v="2"/>
    <n v="1"/>
    <n v="4"/>
    <n v="52"/>
    <n v="3"/>
    <n v="3"/>
    <n v="4"/>
    <n v="13245"/>
    <n v="15067"/>
    <n v="4"/>
    <n v="14"/>
    <n v="3"/>
    <n v="2"/>
    <n v="80"/>
    <n v="0"/>
    <n v="17"/>
    <n v="4"/>
    <n v="0"/>
    <n v="0"/>
    <n v="0"/>
    <n v="0"/>
  </r>
  <r>
    <s v="No"/>
    <s v="Travel_Rarely"/>
    <x v="0"/>
    <s v="Current Employees"/>
    <x v="1"/>
    <x v="2"/>
    <x v="78"/>
    <x v="78"/>
    <x v="1"/>
    <x v="7"/>
    <x v="0"/>
    <s v="No"/>
    <s v="Y"/>
    <n v="3"/>
    <n v="-2"/>
    <n v="0"/>
    <x v="2"/>
    <x v="1"/>
    <m/>
    <n v="0"/>
    <n v="1"/>
    <n v="397"/>
    <n v="7"/>
    <x v="2"/>
    <n v="1"/>
    <n v="1"/>
    <n v="30"/>
    <n v="3"/>
    <n v="3"/>
    <n v="3"/>
    <n v="13664"/>
    <n v="25258"/>
    <n v="4"/>
    <n v="13"/>
    <n v="3"/>
    <n v="1"/>
    <n v="80"/>
    <n v="0"/>
    <n v="16"/>
    <n v="4"/>
    <n v="5"/>
    <n v="2"/>
    <n v="0"/>
    <n v="2"/>
  </r>
  <r>
    <s v="No"/>
    <s v="Travel_Rarely"/>
    <x v="1"/>
    <s v="Current Employees"/>
    <x v="2"/>
    <x v="2"/>
    <x v="79"/>
    <x v="79"/>
    <x v="1"/>
    <x v="8"/>
    <x v="2"/>
    <s v="Yes"/>
    <s v="Y"/>
    <n v="2"/>
    <n v="-2"/>
    <n v="0"/>
    <x v="21"/>
    <x v="1"/>
    <m/>
    <n v="0"/>
    <n v="1"/>
    <n v="945"/>
    <n v="5"/>
    <x v="0"/>
    <n v="1"/>
    <n v="2"/>
    <n v="80"/>
    <n v="3"/>
    <n v="2"/>
    <n v="3"/>
    <n v="5021"/>
    <n v="10425"/>
    <n v="8"/>
    <n v="22"/>
    <n v="4"/>
    <n v="4"/>
    <n v="80"/>
    <n v="1"/>
    <n v="16"/>
    <n v="3"/>
    <n v="4"/>
    <n v="2"/>
    <n v="0"/>
    <n v="2"/>
  </r>
  <r>
    <s v="No"/>
    <s v="Travel_Rarely"/>
    <x v="2"/>
    <s v="Current Employees"/>
    <x v="1"/>
    <x v="0"/>
    <x v="80"/>
    <x v="80"/>
    <x v="1"/>
    <x v="2"/>
    <x v="1"/>
    <s v="Yes"/>
    <s v="Y"/>
    <n v="1"/>
    <n v="-2"/>
    <n v="0"/>
    <x v="7"/>
    <x v="1"/>
    <m/>
    <n v="0"/>
    <n v="1"/>
    <n v="852"/>
    <n v="1"/>
    <x v="1"/>
    <n v="1"/>
    <n v="4"/>
    <n v="55"/>
    <n v="2"/>
    <n v="2"/>
    <n v="2"/>
    <n v="5126"/>
    <n v="15998"/>
    <n v="1"/>
    <n v="12"/>
    <n v="3"/>
    <n v="3"/>
    <n v="80"/>
    <n v="2"/>
    <n v="10"/>
    <n v="2"/>
    <n v="10"/>
    <n v="8"/>
    <n v="3"/>
    <n v="0"/>
  </r>
  <r>
    <s v="No"/>
    <s v="Travel_Rarely"/>
    <x v="0"/>
    <s v="Current Employees"/>
    <x v="1"/>
    <x v="2"/>
    <x v="81"/>
    <x v="81"/>
    <x v="1"/>
    <x v="1"/>
    <x v="0"/>
    <s v="No"/>
    <s v="Y"/>
    <n v="3"/>
    <n v="-2"/>
    <n v="0"/>
    <x v="10"/>
    <x v="1"/>
    <m/>
    <n v="0"/>
    <n v="1"/>
    <n v="1214"/>
    <n v="1"/>
    <x v="3"/>
    <n v="1"/>
    <n v="2"/>
    <n v="30"/>
    <n v="2"/>
    <n v="1"/>
    <n v="3"/>
    <n v="2859"/>
    <n v="26278"/>
    <n v="1"/>
    <n v="18"/>
    <n v="3"/>
    <n v="1"/>
    <n v="80"/>
    <n v="0"/>
    <n v="6"/>
    <n v="3"/>
    <n v="6"/>
    <n v="4"/>
    <n v="0"/>
    <n v="4"/>
  </r>
  <r>
    <s v="No"/>
    <s v="Travel_Rarely"/>
    <x v="3"/>
    <s v="Current Employees"/>
    <x v="0"/>
    <x v="0"/>
    <x v="82"/>
    <x v="82"/>
    <x v="1"/>
    <x v="0"/>
    <x v="1"/>
    <s v="No"/>
    <s v="Y"/>
    <n v="4"/>
    <n v="-2"/>
    <n v="0"/>
    <x v="27"/>
    <x v="1"/>
    <m/>
    <n v="0"/>
    <n v="1"/>
    <n v="111"/>
    <n v="1"/>
    <x v="0"/>
    <n v="1"/>
    <n v="1"/>
    <n v="70"/>
    <n v="3"/>
    <n v="3"/>
    <n v="2"/>
    <n v="10239"/>
    <n v="18092"/>
    <n v="3"/>
    <n v="14"/>
    <n v="3"/>
    <n v="4"/>
    <n v="80"/>
    <n v="1"/>
    <n v="24"/>
    <n v="3"/>
    <n v="1"/>
    <n v="0"/>
    <n v="1"/>
    <n v="0"/>
  </r>
  <r>
    <s v="No"/>
    <s v="Non-Travel"/>
    <x v="0"/>
    <s v="Current Employees"/>
    <x v="1"/>
    <x v="2"/>
    <x v="83"/>
    <x v="83"/>
    <x v="0"/>
    <x v="1"/>
    <x v="2"/>
    <s v="Yes"/>
    <s v="Y"/>
    <n v="3"/>
    <n v="-2"/>
    <n v="0"/>
    <x v="8"/>
    <x v="1"/>
    <m/>
    <n v="0"/>
    <n v="1"/>
    <n v="573"/>
    <n v="6"/>
    <x v="3"/>
    <n v="1"/>
    <n v="2"/>
    <n v="79"/>
    <n v="1"/>
    <n v="2"/>
    <n v="4"/>
    <n v="5329"/>
    <n v="15717"/>
    <n v="7"/>
    <n v="12"/>
    <n v="3"/>
    <n v="4"/>
    <n v="80"/>
    <n v="3"/>
    <n v="17"/>
    <n v="3"/>
    <n v="13"/>
    <n v="11"/>
    <n v="1"/>
    <n v="9"/>
  </r>
  <r>
    <s v="No"/>
    <s v="Travel_Rarely"/>
    <x v="2"/>
    <s v="Current Employees"/>
    <x v="1"/>
    <x v="2"/>
    <x v="84"/>
    <x v="84"/>
    <x v="1"/>
    <x v="3"/>
    <x v="1"/>
    <s v="No"/>
    <s v="Y"/>
    <n v="2"/>
    <n v="-2"/>
    <n v="0"/>
    <x v="13"/>
    <x v="1"/>
    <m/>
    <n v="0"/>
    <n v="1"/>
    <n v="1153"/>
    <n v="1"/>
    <x v="0"/>
    <n v="1"/>
    <n v="1"/>
    <n v="94"/>
    <n v="3"/>
    <n v="2"/>
    <n v="3"/>
    <n v="4325"/>
    <n v="17736"/>
    <n v="1"/>
    <n v="15"/>
    <n v="3"/>
    <n v="3"/>
    <n v="80"/>
    <n v="0"/>
    <n v="5"/>
    <n v="3"/>
    <n v="5"/>
    <n v="2"/>
    <n v="1"/>
    <n v="3"/>
  </r>
  <r>
    <s v="No"/>
    <s v="Travel_Rarely"/>
    <x v="3"/>
    <s v="Current Employees"/>
    <x v="1"/>
    <x v="0"/>
    <x v="85"/>
    <x v="85"/>
    <x v="1"/>
    <x v="3"/>
    <x v="0"/>
    <s v="No"/>
    <s v="Y"/>
    <n v="3"/>
    <n v="-2"/>
    <n v="0"/>
    <x v="29"/>
    <x v="1"/>
    <m/>
    <n v="0"/>
    <n v="1"/>
    <n v="1400"/>
    <n v="7"/>
    <x v="3"/>
    <n v="1"/>
    <n v="4"/>
    <n v="49"/>
    <n v="1"/>
    <n v="3"/>
    <n v="2"/>
    <n v="7260"/>
    <n v="21698"/>
    <n v="4"/>
    <n v="11"/>
    <n v="3"/>
    <n v="1"/>
    <n v="80"/>
    <n v="0"/>
    <n v="37"/>
    <n v="2"/>
    <n v="6"/>
    <n v="4"/>
    <n v="0"/>
    <n v="2"/>
  </r>
  <r>
    <s v="No"/>
    <s v="Travel_Rarely"/>
    <x v="4"/>
    <s v="Current Employees"/>
    <x v="0"/>
    <x v="4"/>
    <x v="86"/>
    <x v="86"/>
    <x v="1"/>
    <x v="6"/>
    <x v="2"/>
    <s v="No"/>
    <s v="Y"/>
    <n v="3"/>
    <n v="-2"/>
    <n v="0"/>
    <x v="30"/>
    <x v="1"/>
    <m/>
    <n v="0"/>
    <n v="1"/>
    <n v="541"/>
    <n v="2"/>
    <x v="1"/>
    <n v="1"/>
    <n v="3"/>
    <n v="62"/>
    <n v="3"/>
    <n v="1"/>
    <n v="4"/>
    <n v="2322"/>
    <n v="9518"/>
    <n v="3"/>
    <n v="13"/>
    <n v="3"/>
    <n v="3"/>
    <n v="80"/>
    <n v="1"/>
    <n v="3"/>
    <n v="3"/>
    <n v="0"/>
    <n v="0"/>
    <n v="0"/>
    <n v="0"/>
  </r>
  <r>
    <s v="No"/>
    <s v="Travel_Rarely"/>
    <x v="1"/>
    <s v="Current Employees"/>
    <x v="1"/>
    <x v="0"/>
    <x v="87"/>
    <x v="87"/>
    <x v="1"/>
    <x v="2"/>
    <x v="1"/>
    <s v="No"/>
    <s v="Y"/>
    <n v="4"/>
    <n v="-2"/>
    <n v="0"/>
    <x v="31"/>
    <x v="1"/>
    <m/>
    <n v="0"/>
    <n v="1"/>
    <n v="432"/>
    <n v="9"/>
    <x v="2"/>
    <n v="1"/>
    <n v="4"/>
    <n v="96"/>
    <n v="3"/>
    <n v="1"/>
    <n v="2"/>
    <n v="2075"/>
    <n v="18725"/>
    <n v="3"/>
    <n v="23"/>
    <n v="4"/>
    <n v="2"/>
    <n v="80"/>
    <n v="2"/>
    <n v="10"/>
    <n v="3"/>
    <n v="4"/>
    <n v="2"/>
    <n v="0"/>
    <n v="3"/>
  </r>
  <r>
    <s v="No"/>
    <s v="Travel_Rarely"/>
    <x v="2"/>
    <s v="Current Employees"/>
    <x v="1"/>
    <x v="0"/>
    <x v="88"/>
    <x v="88"/>
    <x v="1"/>
    <x v="4"/>
    <x v="1"/>
    <s v="No"/>
    <s v="Y"/>
    <n v="3"/>
    <n v="-2"/>
    <n v="0"/>
    <x v="7"/>
    <x v="1"/>
    <m/>
    <n v="0"/>
    <n v="1"/>
    <n v="288"/>
    <n v="2"/>
    <x v="3"/>
    <n v="1"/>
    <n v="3"/>
    <n v="99"/>
    <n v="2"/>
    <n v="2"/>
    <n v="2"/>
    <n v="4152"/>
    <n v="15830"/>
    <n v="1"/>
    <n v="19"/>
    <n v="3"/>
    <n v="1"/>
    <n v="80"/>
    <n v="3"/>
    <n v="11"/>
    <n v="3"/>
    <n v="11"/>
    <n v="10"/>
    <n v="10"/>
    <n v="8"/>
  </r>
  <r>
    <s v="Yes"/>
    <s v="Travel_Rarely"/>
    <x v="1"/>
    <s v="Ex-Employees"/>
    <x v="0"/>
    <x v="2"/>
    <x v="89"/>
    <x v="89"/>
    <x v="1"/>
    <x v="0"/>
    <x v="0"/>
    <s v="No"/>
    <s v="Y"/>
    <n v="3"/>
    <n v="-2"/>
    <n v="0"/>
    <x v="21"/>
    <x v="0"/>
    <n v="1"/>
    <n v="1"/>
    <n v="0"/>
    <n v="669"/>
    <n v="9"/>
    <x v="0"/>
    <n v="1"/>
    <n v="3"/>
    <n v="64"/>
    <n v="2"/>
    <n v="3"/>
    <n v="4"/>
    <n v="9619"/>
    <n v="13596"/>
    <n v="1"/>
    <n v="16"/>
    <n v="3"/>
    <n v="4"/>
    <n v="80"/>
    <n v="0"/>
    <n v="9"/>
    <n v="3"/>
    <n v="9"/>
    <n v="8"/>
    <n v="4"/>
    <n v="7"/>
  </r>
  <r>
    <s v="No"/>
    <s v="Travel_Frequently"/>
    <x v="0"/>
    <s v="Current Employees"/>
    <x v="1"/>
    <x v="0"/>
    <x v="90"/>
    <x v="90"/>
    <x v="1"/>
    <x v="4"/>
    <x v="1"/>
    <s v="No"/>
    <s v="Y"/>
    <n v="3"/>
    <n v="-2"/>
    <n v="0"/>
    <x v="32"/>
    <x v="1"/>
    <m/>
    <n v="0"/>
    <n v="1"/>
    <n v="530"/>
    <n v="1"/>
    <x v="2"/>
    <n v="1"/>
    <n v="3"/>
    <n v="78"/>
    <n v="2"/>
    <n v="4"/>
    <n v="2"/>
    <n v="13503"/>
    <n v="14115"/>
    <n v="1"/>
    <n v="22"/>
    <n v="4"/>
    <n v="4"/>
    <n v="80"/>
    <n v="1"/>
    <n v="22"/>
    <n v="2"/>
    <n v="22"/>
    <n v="3"/>
    <n v="11"/>
    <n v="11"/>
  </r>
  <r>
    <s v="No"/>
    <s v="Travel_Rarely"/>
    <x v="1"/>
    <s v="Current Employees"/>
    <x v="0"/>
    <x v="3"/>
    <x v="91"/>
    <x v="91"/>
    <x v="1"/>
    <x v="0"/>
    <x v="0"/>
    <s v="Yes"/>
    <s v="Y"/>
    <n v="2"/>
    <n v="-2"/>
    <n v="0"/>
    <x v="31"/>
    <x v="1"/>
    <m/>
    <n v="0"/>
    <n v="1"/>
    <n v="632"/>
    <n v="21"/>
    <x v="2"/>
    <n v="1"/>
    <n v="3"/>
    <n v="71"/>
    <n v="3"/>
    <n v="2"/>
    <n v="4"/>
    <n v="5441"/>
    <n v="8423"/>
    <n v="0"/>
    <n v="22"/>
    <n v="4"/>
    <n v="4"/>
    <n v="80"/>
    <n v="0"/>
    <n v="11"/>
    <n v="1"/>
    <n v="10"/>
    <n v="7"/>
    <n v="1"/>
    <n v="0"/>
  </r>
  <r>
    <s v="No"/>
    <s v="Travel_Rarely"/>
    <x v="2"/>
    <s v="Current Employees"/>
    <x v="0"/>
    <x v="2"/>
    <x v="92"/>
    <x v="92"/>
    <x v="0"/>
    <x v="0"/>
    <x v="2"/>
    <s v="Yes"/>
    <s v="Y"/>
    <n v="4"/>
    <n v="-2"/>
    <n v="0"/>
    <x v="7"/>
    <x v="1"/>
    <m/>
    <n v="0"/>
    <n v="1"/>
    <n v="1334"/>
    <n v="4"/>
    <x v="0"/>
    <n v="1"/>
    <n v="3"/>
    <n v="63"/>
    <n v="2"/>
    <n v="2"/>
    <n v="3"/>
    <n v="5209"/>
    <n v="19760"/>
    <n v="1"/>
    <n v="12"/>
    <n v="3"/>
    <n v="2"/>
    <n v="80"/>
    <n v="3"/>
    <n v="11"/>
    <n v="2"/>
    <n v="11"/>
    <n v="8"/>
    <n v="2"/>
    <n v="7"/>
  </r>
  <r>
    <s v="No"/>
    <s v="Travel_Frequently"/>
    <x v="1"/>
    <s v="Current Employees"/>
    <x v="1"/>
    <x v="2"/>
    <x v="93"/>
    <x v="93"/>
    <x v="1"/>
    <x v="4"/>
    <x v="1"/>
    <s v="Yes"/>
    <s v="Y"/>
    <n v="5"/>
    <n v="-2"/>
    <n v="0"/>
    <x v="21"/>
    <x v="1"/>
    <m/>
    <n v="0"/>
    <n v="1"/>
    <n v="638"/>
    <n v="1"/>
    <x v="3"/>
    <n v="1"/>
    <n v="3"/>
    <n v="40"/>
    <n v="2"/>
    <n v="3"/>
    <n v="4"/>
    <n v="10673"/>
    <n v="3142"/>
    <n v="2"/>
    <n v="13"/>
    <n v="3"/>
    <n v="3"/>
    <n v="80"/>
    <n v="1"/>
    <n v="21"/>
    <n v="2"/>
    <n v="10"/>
    <n v="9"/>
    <n v="9"/>
    <n v="5"/>
  </r>
  <r>
    <s v="No"/>
    <s v="Travel_Rarely"/>
    <x v="2"/>
    <s v="Current Employees"/>
    <x v="0"/>
    <x v="2"/>
    <x v="94"/>
    <x v="94"/>
    <x v="1"/>
    <x v="0"/>
    <x v="0"/>
    <s v="No"/>
    <s v="Y"/>
    <n v="0"/>
    <n v="-2"/>
    <n v="0"/>
    <x v="5"/>
    <x v="1"/>
    <m/>
    <n v="0"/>
    <n v="1"/>
    <n v="1093"/>
    <n v="6"/>
    <x v="2"/>
    <n v="1"/>
    <n v="2"/>
    <n v="87"/>
    <n v="3"/>
    <n v="2"/>
    <n v="3"/>
    <n v="5010"/>
    <n v="24301"/>
    <n v="1"/>
    <n v="16"/>
    <n v="3"/>
    <n v="1"/>
    <n v="80"/>
    <n v="0"/>
    <n v="12"/>
    <n v="3"/>
    <n v="11"/>
    <n v="8"/>
    <n v="5"/>
    <n v="7"/>
  </r>
  <r>
    <s v="No"/>
    <s v="Travel_Rarely"/>
    <x v="1"/>
    <s v="Current Employees"/>
    <x v="1"/>
    <x v="4"/>
    <x v="95"/>
    <x v="95"/>
    <x v="0"/>
    <x v="7"/>
    <x v="1"/>
    <s v="No"/>
    <s v="Y"/>
    <n v="5"/>
    <n v="-2"/>
    <n v="0"/>
    <x v="33"/>
    <x v="1"/>
    <m/>
    <n v="0"/>
    <n v="1"/>
    <n v="1217"/>
    <n v="2"/>
    <x v="2"/>
    <n v="1"/>
    <n v="1"/>
    <n v="60"/>
    <n v="3"/>
    <n v="3"/>
    <n v="3"/>
    <n v="13549"/>
    <n v="24001"/>
    <n v="9"/>
    <n v="12"/>
    <n v="3"/>
    <n v="1"/>
    <n v="80"/>
    <n v="1"/>
    <n v="16"/>
    <n v="1"/>
    <n v="4"/>
    <n v="3"/>
    <n v="0"/>
    <n v="3"/>
  </r>
  <r>
    <s v="No"/>
    <s v="Travel_Rarely"/>
    <x v="4"/>
    <s v="Current Employees"/>
    <x v="0"/>
    <x v="1"/>
    <x v="96"/>
    <x v="96"/>
    <x v="0"/>
    <x v="0"/>
    <x v="1"/>
    <s v="No"/>
    <s v="Y"/>
    <n v="2"/>
    <n v="-2"/>
    <n v="0"/>
    <x v="17"/>
    <x v="1"/>
    <m/>
    <n v="0"/>
    <n v="1"/>
    <n v="1353"/>
    <n v="3"/>
    <x v="0"/>
    <n v="1"/>
    <n v="1"/>
    <n v="33"/>
    <n v="3"/>
    <n v="2"/>
    <n v="3"/>
    <n v="4999"/>
    <n v="17519"/>
    <n v="0"/>
    <n v="21"/>
    <n v="4"/>
    <n v="1"/>
    <n v="80"/>
    <n v="1"/>
    <n v="4"/>
    <n v="2"/>
    <n v="3"/>
    <n v="2"/>
    <n v="0"/>
    <n v="2"/>
  </r>
  <r>
    <s v="No"/>
    <s v="Non-Travel"/>
    <x v="2"/>
    <s v="Current Employees"/>
    <x v="0"/>
    <x v="2"/>
    <x v="97"/>
    <x v="97"/>
    <x v="1"/>
    <x v="0"/>
    <x v="1"/>
    <s v="No"/>
    <s v="Y"/>
    <n v="3"/>
    <n v="-2"/>
    <n v="0"/>
    <x v="14"/>
    <x v="1"/>
    <m/>
    <n v="0"/>
    <n v="1"/>
    <n v="120"/>
    <n v="4"/>
    <x v="3"/>
    <n v="1"/>
    <n v="2"/>
    <n v="43"/>
    <n v="3"/>
    <n v="2"/>
    <n v="3"/>
    <n v="4221"/>
    <n v="8863"/>
    <n v="1"/>
    <n v="15"/>
    <n v="3"/>
    <n v="2"/>
    <n v="80"/>
    <n v="0"/>
    <n v="5"/>
    <n v="4"/>
    <n v="5"/>
    <n v="4"/>
    <n v="0"/>
    <n v="4"/>
  </r>
  <r>
    <s v="No"/>
    <s v="Travel_Rarely"/>
    <x v="3"/>
    <s v="Current Employees"/>
    <x v="0"/>
    <x v="2"/>
    <x v="98"/>
    <x v="98"/>
    <x v="1"/>
    <x v="0"/>
    <x v="0"/>
    <s v="No"/>
    <s v="Y"/>
    <n v="1"/>
    <n v="-2"/>
    <n v="0"/>
    <x v="34"/>
    <x v="1"/>
    <m/>
    <n v="0"/>
    <n v="1"/>
    <n v="682"/>
    <n v="10"/>
    <x v="2"/>
    <n v="1"/>
    <n v="4"/>
    <n v="37"/>
    <n v="3"/>
    <n v="4"/>
    <n v="3"/>
    <n v="13872"/>
    <n v="24409"/>
    <n v="0"/>
    <n v="13"/>
    <n v="3"/>
    <n v="3"/>
    <n v="80"/>
    <n v="0"/>
    <n v="38"/>
    <n v="2"/>
    <n v="37"/>
    <n v="10"/>
    <n v="1"/>
    <n v="8"/>
  </r>
  <r>
    <s v="No"/>
    <s v="Non-Travel"/>
    <x v="0"/>
    <s v="Current Employees"/>
    <x v="1"/>
    <x v="2"/>
    <x v="99"/>
    <x v="99"/>
    <x v="1"/>
    <x v="2"/>
    <x v="1"/>
    <s v="No"/>
    <s v="Y"/>
    <n v="3"/>
    <n v="-2"/>
    <n v="0"/>
    <x v="20"/>
    <x v="1"/>
    <m/>
    <n v="0"/>
    <n v="1"/>
    <n v="489"/>
    <n v="23"/>
    <x v="3"/>
    <n v="1"/>
    <n v="2"/>
    <n v="67"/>
    <n v="3"/>
    <n v="2"/>
    <n v="3"/>
    <n v="2042"/>
    <n v="25043"/>
    <n v="4"/>
    <n v="12"/>
    <n v="3"/>
    <n v="3"/>
    <n v="80"/>
    <n v="1"/>
    <n v="17"/>
    <n v="4"/>
    <n v="3"/>
    <n v="2"/>
    <n v="1"/>
    <n v="2"/>
  </r>
  <r>
    <s v="Yes"/>
    <s v="Travel_Rarely"/>
    <x v="0"/>
    <s v="Ex-Employees"/>
    <x v="2"/>
    <x v="5"/>
    <x v="100"/>
    <x v="100"/>
    <x v="1"/>
    <x v="8"/>
    <x v="2"/>
    <s v="Yes"/>
    <s v="Y"/>
    <n v="3"/>
    <n v="-2"/>
    <n v="0"/>
    <x v="2"/>
    <x v="0"/>
    <n v="1"/>
    <n v="1"/>
    <n v="0"/>
    <n v="807"/>
    <n v="6"/>
    <x v="2"/>
    <n v="1"/>
    <n v="3"/>
    <n v="63"/>
    <n v="3"/>
    <n v="1"/>
    <n v="4"/>
    <n v="2073"/>
    <n v="23648"/>
    <n v="4"/>
    <n v="22"/>
    <n v="4"/>
    <n v="4"/>
    <n v="80"/>
    <n v="0"/>
    <n v="7"/>
    <n v="3"/>
    <n v="3"/>
    <n v="2"/>
    <n v="0"/>
    <n v="2"/>
  </r>
  <r>
    <s v="No"/>
    <s v="Travel_Rarely"/>
    <x v="2"/>
    <s v="Current Employees"/>
    <x v="1"/>
    <x v="0"/>
    <x v="101"/>
    <x v="101"/>
    <x v="1"/>
    <x v="1"/>
    <x v="0"/>
    <s v="No"/>
    <s v="Y"/>
    <n v="2"/>
    <n v="-2"/>
    <n v="0"/>
    <x v="5"/>
    <x v="1"/>
    <m/>
    <n v="0"/>
    <n v="1"/>
    <n v="827"/>
    <n v="1"/>
    <x v="1"/>
    <n v="1"/>
    <n v="4"/>
    <n v="71"/>
    <n v="3"/>
    <n v="1"/>
    <n v="2"/>
    <n v="2956"/>
    <n v="15178"/>
    <n v="1"/>
    <n v="13"/>
    <n v="3"/>
    <n v="4"/>
    <n v="80"/>
    <n v="0"/>
    <n v="1"/>
    <n v="3"/>
    <n v="1"/>
    <n v="0"/>
    <n v="0"/>
    <n v="0"/>
  </r>
  <r>
    <s v="Yes"/>
    <s v="Travel_Frequently"/>
    <x v="4"/>
    <s v="Ex-Employees"/>
    <x v="1"/>
    <x v="0"/>
    <x v="102"/>
    <x v="102"/>
    <x v="0"/>
    <x v="2"/>
    <x v="0"/>
    <s v="Yes"/>
    <s v="Y"/>
    <n v="5"/>
    <n v="-2"/>
    <n v="0"/>
    <x v="35"/>
    <x v="0"/>
    <n v="1"/>
    <n v="1"/>
    <n v="0"/>
    <n v="871"/>
    <n v="6"/>
    <x v="3"/>
    <n v="1"/>
    <n v="4"/>
    <n v="66"/>
    <n v="2"/>
    <n v="1"/>
    <n v="2"/>
    <n v="2926"/>
    <n v="19783"/>
    <n v="1"/>
    <n v="18"/>
    <n v="3"/>
    <n v="2"/>
    <n v="80"/>
    <n v="0"/>
    <n v="1"/>
    <n v="3"/>
    <n v="1"/>
    <n v="0"/>
    <n v="1"/>
    <n v="0"/>
  </r>
  <r>
    <s v="No"/>
    <s v="Travel_Rarely"/>
    <x v="2"/>
    <s v="Current Employees"/>
    <x v="1"/>
    <x v="1"/>
    <x v="103"/>
    <x v="103"/>
    <x v="0"/>
    <x v="1"/>
    <x v="0"/>
    <s v="No"/>
    <s v="Y"/>
    <n v="3"/>
    <n v="-2"/>
    <n v="0"/>
    <x v="13"/>
    <x v="1"/>
    <m/>
    <n v="0"/>
    <n v="1"/>
    <n v="665"/>
    <n v="6"/>
    <x v="2"/>
    <n v="1"/>
    <n v="1"/>
    <n v="41"/>
    <n v="3"/>
    <n v="2"/>
    <n v="3"/>
    <n v="4809"/>
    <n v="12482"/>
    <n v="1"/>
    <n v="14"/>
    <n v="3"/>
    <n v="3"/>
    <n v="80"/>
    <n v="0"/>
    <n v="16"/>
    <n v="3"/>
    <n v="16"/>
    <n v="13"/>
    <n v="2"/>
    <n v="10"/>
  </r>
  <r>
    <s v="No"/>
    <s v="Non-Travel"/>
    <x v="0"/>
    <s v="Current Employees"/>
    <x v="1"/>
    <x v="0"/>
    <x v="104"/>
    <x v="104"/>
    <x v="1"/>
    <x v="4"/>
    <x v="2"/>
    <s v="No"/>
    <s v="Y"/>
    <n v="2"/>
    <n v="-2"/>
    <n v="0"/>
    <x v="2"/>
    <x v="1"/>
    <m/>
    <n v="0"/>
    <n v="1"/>
    <n v="1040"/>
    <n v="2"/>
    <x v="0"/>
    <n v="1"/>
    <n v="3"/>
    <n v="100"/>
    <n v="2"/>
    <n v="2"/>
    <n v="2"/>
    <n v="5163"/>
    <n v="15850"/>
    <n v="5"/>
    <n v="14"/>
    <n v="3"/>
    <n v="4"/>
    <n v="80"/>
    <n v="1"/>
    <n v="17"/>
    <n v="4"/>
    <n v="1"/>
    <n v="0"/>
    <n v="0"/>
    <n v="0"/>
  </r>
  <r>
    <s v="No"/>
    <s v="Non-Travel"/>
    <x v="3"/>
    <s v="Current Employees"/>
    <x v="2"/>
    <x v="5"/>
    <x v="105"/>
    <x v="105"/>
    <x v="0"/>
    <x v="5"/>
    <x v="1"/>
    <s v="No"/>
    <s v="Y"/>
    <n v="3"/>
    <n v="-2"/>
    <n v="0"/>
    <x v="6"/>
    <x v="1"/>
    <m/>
    <n v="0"/>
    <n v="1"/>
    <n v="1420"/>
    <n v="2"/>
    <x v="2"/>
    <n v="1"/>
    <n v="3"/>
    <n v="32"/>
    <n v="2"/>
    <n v="5"/>
    <n v="4"/>
    <n v="18844"/>
    <n v="21922"/>
    <n v="9"/>
    <n v="21"/>
    <n v="4"/>
    <n v="4"/>
    <n v="80"/>
    <n v="1"/>
    <n v="30"/>
    <n v="3"/>
    <n v="3"/>
    <n v="2"/>
    <n v="2"/>
    <n v="2"/>
  </r>
  <r>
    <s v="No"/>
    <s v="Travel_Frequently"/>
    <x v="1"/>
    <s v="Current Employees"/>
    <x v="1"/>
    <x v="0"/>
    <x v="106"/>
    <x v="106"/>
    <x v="0"/>
    <x v="7"/>
    <x v="1"/>
    <s v="Yes"/>
    <s v="Y"/>
    <n v="1"/>
    <n v="-2"/>
    <n v="0"/>
    <x v="24"/>
    <x v="1"/>
    <m/>
    <n v="0"/>
    <n v="1"/>
    <n v="1115"/>
    <n v="1"/>
    <x v="3"/>
    <n v="1"/>
    <n v="1"/>
    <n v="73"/>
    <n v="3"/>
    <n v="5"/>
    <n v="2"/>
    <n v="18172"/>
    <n v="9755"/>
    <n v="3"/>
    <n v="19"/>
    <n v="3"/>
    <n v="1"/>
    <n v="80"/>
    <n v="0"/>
    <n v="28"/>
    <n v="2"/>
    <n v="8"/>
    <n v="3"/>
    <n v="0"/>
    <n v="7"/>
  </r>
  <r>
    <s v="Yes"/>
    <s v="Travel_Rarely"/>
    <x v="2"/>
    <s v="Ex-Employees"/>
    <x v="0"/>
    <x v="3"/>
    <x v="107"/>
    <x v="107"/>
    <x v="1"/>
    <x v="0"/>
    <x v="0"/>
    <s v="Yes"/>
    <s v="Y"/>
    <n v="1"/>
    <n v="-2"/>
    <n v="0"/>
    <x v="36"/>
    <x v="0"/>
    <n v="1"/>
    <n v="1"/>
    <n v="0"/>
    <n v="240"/>
    <n v="5"/>
    <x v="3"/>
    <n v="1"/>
    <n v="3"/>
    <n v="46"/>
    <n v="2"/>
    <n v="2"/>
    <n v="3"/>
    <n v="5744"/>
    <n v="26959"/>
    <n v="1"/>
    <n v="11"/>
    <n v="3"/>
    <n v="4"/>
    <n v="80"/>
    <n v="0"/>
    <n v="6"/>
    <n v="3"/>
    <n v="6"/>
    <n v="4"/>
    <n v="0"/>
    <n v="3"/>
  </r>
  <r>
    <s v="No"/>
    <s v="Travel_Rarely"/>
    <x v="2"/>
    <s v="Current Employees"/>
    <x v="1"/>
    <x v="2"/>
    <x v="108"/>
    <x v="108"/>
    <x v="1"/>
    <x v="1"/>
    <x v="1"/>
    <s v="No"/>
    <s v="Y"/>
    <n v="2"/>
    <n v="-2"/>
    <n v="0"/>
    <x v="36"/>
    <x v="1"/>
    <m/>
    <n v="0"/>
    <n v="1"/>
    <n v="1280"/>
    <n v="7"/>
    <x v="1"/>
    <n v="1"/>
    <n v="4"/>
    <n v="64"/>
    <n v="2"/>
    <n v="1"/>
    <n v="4"/>
    <n v="2889"/>
    <n v="26897"/>
    <n v="1"/>
    <n v="11"/>
    <n v="3"/>
    <n v="3"/>
    <n v="80"/>
    <n v="2"/>
    <n v="2"/>
    <n v="3"/>
    <n v="2"/>
    <n v="2"/>
    <n v="2"/>
    <n v="1"/>
  </r>
  <r>
    <s v="No"/>
    <s v="Travel_Rarely"/>
    <x v="4"/>
    <s v="Current Employees"/>
    <x v="1"/>
    <x v="2"/>
    <x v="109"/>
    <x v="109"/>
    <x v="0"/>
    <x v="2"/>
    <x v="0"/>
    <s v="No"/>
    <s v="Y"/>
    <n v="5"/>
    <n v="-2"/>
    <n v="0"/>
    <x v="15"/>
    <x v="1"/>
    <m/>
    <n v="0"/>
    <n v="1"/>
    <n v="534"/>
    <n v="15"/>
    <x v="3"/>
    <n v="1"/>
    <n v="2"/>
    <n v="59"/>
    <n v="3"/>
    <n v="1"/>
    <n v="4"/>
    <n v="2871"/>
    <n v="23785"/>
    <n v="1"/>
    <n v="15"/>
    <n v="3"/>
    <n v="3"/>
    <n v="80"/>
    <n v="0"/>
    <n v="1"/>
    <n v="3"/>
    <n v="0"/>
    <n v="0"/>
    <n v="0"/>
    <n v="0"/>
  </r>
  <r>
    <s v="No"/>
    <s v="Travel_Frequently"/>
    <x v="1"/>
    <s v="Current Employees"/>
    <x v="1"/>
    <x v="2"/>
    <x v="110"/>
    <x v="110"/>
    <x v="0"/>
    <x v="4"/>
    <x v="0"/>
    <s v="No"/>
    <s v="Y"/>
    <n v="1"/>
    <n v="-2"/>
    <n v="0"/>
    <x v="31"/>
    <x v="1"/>
    <m/>
    <n v="0"/>
    <n v="1"/>
    <n v="1456"/>
    <n v="1"/>
    <x v="2"/>
    <n v="1"/>
    <n v="1"/>
    <n v="30"/>
    <n v="2"/>
    <n v="3"/>
    <n v="4"/>
    <n v="7484"/>
    <n v="25796"/>
    <n v="3"/>
    <n v="20"/>
    <n v="4"/>
    <n v="3"/>
    <n v="80"/>
    <n v="0"/>
    <n v="23"/>
    <n v="2"/>
    <n v="13"/>
    <n v="12"/>
    <n v="12"/>
    <n v="8"/>
  </r>
  <r>
    <s v="Yes"/>
    <s v="Travel_Frequently"/>
    <x v="2"/>
    <s v="Ex-Employees"/>
    <x v="1"/>
    <x v="0"/>
    <x v="111"/>
    <x v="111"/>
    <x v="1"/>
    <x v="2"/>
    <x v="0"/>
    <s v="Yes"/>
    <s v="Y"/>
    <n v="3"/>
    <n v="-2"/>
    <n v="0"/>
    <x v="13"/>
    <x v="0"/>
    <n v="1"/>
    <n v="1"/>
    <n v="0"/>
    <n v="658"/>
    <n v="7"/>
    <x v="3"/>
    <n v="1"/>
    <n v="1"/>
    <n v="66"/>
    <n v="1"/>
    <n v="2"/>
    <n v="2"/>
    <n v="6074"/>
    <n v="22887"/>
    <n v="1"/>
    <n v="24"/>
    <n v="4"/>
    <n v="4"/>
    <n v="80"/>
    <n v="0"/>
    <n v="9"/>
    <n v="3"/>
    <n v="9"/>
    <n v="7"/>
    <n v="0"/>
    <n v="6"/>
  </r>
  <r>
    <s v="No"/>
    <s v="Non-Travel"/>
    <x v="1"/>
    <s v="Current Employees"/>
    <x v="2"/>
    <x v="5"/>
    <x v="112"/>
    <x v="112"/>
    <x v="0"/>
    <x v="5"/>
    <x v="0"/>
    <s v="Yes"/>
    <s v="Y"/>
    <n v="3"/>
    <n v="-2"/>
    <n v="0"/>
    <x v="33"/>
    <x v="1"/>
    <m/>
    <n v="0"/>
    <n v="1"/>
    <n v="142"/>
    <n v="26"/>
    <x v="3"/>
    <n v="1"/>
    <n v="4"/>
    <n v="30"/>
    <n v="4"/>
    <n v="4"/>
    <n v="4"/>
    <n v="17328"/>
    <n v="13871"/>
    <n v="2"/>
    <n v="12"/>
    <n v="3"/>
    <n v="3"/>
    <n v="80"/>
    <n v="0"/>
    <n v="23"/>
    <n v="3"/>
    <n v="5"/>
    <n v="3"/>
    <n v="4"/>
    <n v="4"/>
  </r>
  <r>
    <s v="No"/>
    <s v="Travel_Rarely"/>
    <x v="4"/>
    <s v="Current Employees"/>
    <x v="1"/>
    <x v="0"/>
    <x v="113"/>
    <x v="113"/>
    <x v="1"/>
    <x v="2"/>
    <x v="1"/>
    <s v="No"/>
    <s v="Y"/>
    <n v="2"/>
    <n v="-2"/>
    <n v="0"/>
    <x v="17"/>
    <x v="1"/>
    <m/>
    <n v="0"/>
    <n v="1"/>
    <n v="1127"/>
    <n v="18"/>
    <x v="1"/>
    <n v="1"/>
    <n v="2"/>
    <n v="52"/>
    <n v="3"/>
    <n v="1"/>
    <n v="2"/>
    <n v="2774"/>
    <n v="13257"/>
    <n v="0"/>
    <n v="12"/>
    <n v="3"/>
    <n v="3"/>
    <n v="80"/>
    <n v="1"/>
    <n v="6"/>
    <n v="3"/>
    <n v="5"/>
    <n v="3"/>
    <n v="1"/>
    <n v="2"/>
  </r>
  <r>
    <s v="No"/>
    <s v="Travel_Rarely"/>
    <x v="2"/>
    <s v="Current Employees"/>
    <x v="1"/>
    <x v="0"/>
    <x v="114"/>
    <x v="114"/>
    <x v="0"/>
    <x v="1"/>
    <x v="2"/>
    <s v="No"/>
    <s v="Y"/>
    <n v="3"/>
    <n v="-2"/>
    <n v="0"/>
    <x v="13"/>
    <x v="1"/>
    <m/>
    <n v="0"/>
    <n v="1"/>
    <n v="1031"/>
    <n v="6"/>
    <x v="2"/>
    <n v="1"/>
    <n v="3"/>
    <n v="45"/>
    <n v="2"/>
    <n v="2"/>
    <n v="2"/>
    <n v="4505"/>
    <n v="15000"/>
    <n v="6"/>
    <n v="15"/>
    <n v="3"/>
    <n v="3"/>
    <n v="80"/>
    <n v="1"/>
    <n v="12"/>
    <n v="3"/>
    <n v="1"/>
    <n v="0"/>
    <n v="0"/>
    <n v="0"/>
  </r>
  <r>
    <s v="No"/>
    <s v="Travel_Rarely"/>
    <x v="0"/>
    <s v="Current Employees"/>
    <x v="0"/>
    <x v="0"/>
    <x v="115"/>
    <x v="115"/>
    <x v="1"/>
    <x v="0"/>
    <x v="0"/>
    <s v="No"/>
    <s v="Y"/>
    <n v="3"/>
    <n v="-2"/>
    <n v="0"/>
    <x v="2"/>
    <x v="1"/>
    <m/>
    <n v="0"/>
    <n v="1"/>
    <n v="1189"/>
    <n v="3"/>
    <x v="3"/>
    <n v="1"/>
    <n v="3"/>
    <n v="87"/>
    <n v="3"/>
    <n v="3"/>
    <n v="2"/>
    <n v="7428"/>
    <n v="14506"/>
    <n v="2"/>
    <n v="12"/>
    <n v="3"/>
    <n v="1"/>
    <n v="80"/>
    <n v="0"/>
    <n v="12"/>
    <n v="3"/>
    <n v="5"/>
    <n v="3"/>
    <n v="1"/>
    <n v="3"/>
  </r>
  <r>
    <s v="No"/>
    <s v="Travel_Rarely"/>
    <x v="2"/>
    <s v="Current Employees"/>
    <x v="1"/>
    <x v="2"/>
    <x v="116"/>
    <x v="116"/>
    <x v="0"/>
    <x v="5"/>
    <x v="0"/>
    <s v="No"/>
    <s v="Y"/>
    <n v="6"/>
    <n v="-2"/>
    <n v="0"/>
    <x v="13"/>
    <x v="1"/>
    <m/>
    <n v="0"/>
    <n v="1"/>
    <n v="1354"/>
    <n v="5"/>
    <x v="3"/>
    <n v="1"/>
    <n v="3"/>
    <n v="45"/>
    <n v="2"/>
    <n v="3"/>
    <n v="4"/>
    <n v="11631"/>
    <n v="5615"/>
    <n v="2"/>
    <n v="12"/>
    <n v="3"/>
    <n v="4"/>
    <n v="80"/>
    <n v="0"/>
    <n v="14"/>
    <n v="3"/>
    <n v="11"/>
    <n v="10"/>
    <n v="5"/>
    <n v="8"/>
  </r>
  <r>
    <s v="No"/>
    <s v="Travel_Frequently"/>
    <x v="0"/>
    <s v="Current Employees"/>
    <x v="0"/>
    <x v="4"/>
    <x v="117"/>
    <x v="117"/>
    <x v="0"/>
    <x v="0"/>
    <x v="1"/>
    <s v="No"/>
    <s v="Y"/>
    <n v="6"/>
    <n v="-2"/>
    <n v="0"/>
    <x v="9"/>
    <x v="1"/>
    <m/>
    <n v="0"/>
    <n v="1"/>
    <n v="1467"/>
    <n v="11"/>
    <x v="0"/>
    <n v="1"/>
    <n v="2"/>
    <n v="92"/>
    <n v="3"/>
    <n v="3"/>
    <n v="4"/>
    <n v="9738"/>
    <n v="22952"/>
    <n v="0"/>
    <n v="14"/>
    <n v="3"/>
    <n v="3"/>
    <n v="80"/>
    <n v="1"/>
    <n v="10"/>
    <n v="3"/>
    <n v="9"/>
    <n v="7"/>
    <n v="2"/>
    <n v="8"/>
  </r>
  <r>
    <s v="No"/>
    <s v="Travel_Rarely"/>
    <x v="0"/>
    <s v="Current Employees"/>
    <x v="1"/>
    <x v="0"/>
    <x v="118"/>
    <x v="118"/>
    <x v="0"/>
    <x v="2"/>
    <x v="2"/>
    <s v="No"/>
    <s v="Y"/>
    <n v="2"/>
    <n v="-2"/>
    <n v="0"/>
    <x v="9"/>
    <x v="1"/>
    <m/>
    <n v="0"/>
    <n v="1"/>
    <n v="922"/>
    <n v="3"/>
    <x v="0"/>
    <n v="1"/>
    <n v="1"/>
    <n v="39"/>
    <n v="3"/>
    <n v="1"/>
    <n v="2"/>
    <n v="2835"/>
    <n v="2561"/>
    <n v="5"/>
    <n v="22"/>
    <n v="4"/>
    <n v="1"/>
    <n v="80"/>
    <n v="1"/>
    <n v="7"/>
    <n v="3"/>
    <n v="1"/>
    <n v="0"/>
    <n v="0"/>
    <n v="0"/>
  </r>
  <r>
    <s v="No"/>
    <s v="Travel_Frequently"/>
    <x v="0"/>
    <s v="Current Employees"/>
    <x v="0"/>
    <x v="0"/>
    <x v="119"/>
    <x v="119"/>
    <x v="1"/>
    <x v="5"/>
    <x v="1"/>
    <s v="Yes"/>
    <s v="Y"/>
    <n v="3"/>
    <n v="-2"/>
    <n v="0"/>
    <x v="23"/>
    <x v="1"/>
    <m/>
    <n v="0"/>
    <n v="1"/>
    <n v="394"/>
    <n v="26"/>
    <x v="0"/>
    <n v="1"/>
    <n v="3"/>
    <n v="92"/>
    <n v="3"/>
    <n v="4"/>
    <n v="2"/>
    <n v="16959"/>
    <n v="19494"/>
    <n v="1"/>
    <n v="12"/>
    <n v="3"/>
    <n v="4"/>
    <n v="80"/>
    <n v="2"/>
    <n v="25"/>
    <n v="4"/>
    <n v="25"/>
    <n v="12"/>
    <n v="4"/>
    <n v="12"/>
  </r>
  <r>
    <s v="No"/>
    <s v="Travel_Frequently"/>
    <x v="2"/>
    <s v="Current Employees"/>
    <x v="1"/>
    <x v="0"/>
    <x v="120"/>
    <x v="120"/>
    <x v="1"/>
    <x v="1"/>
    <x v="2"/>
    <s v="No"/>
    <s v="Y"/>
    <n v="2"/>
    <n v="-2"/>
    <n v="0"/>
    <x v="7"/>
    <x v="1"/>
    <m/>
    <n v="0"/>
    <n v="1"/>
    <n v="1312"/>
    <n v="23"/>
    <x v="3"/>
    <n v="1"/>
    <n v="1"/>
    <n v="96"/>
    <n v="1"/>
    <n v="1"/>
    <n v="2"/>
    <n v="2613"/>
    <n v="22310"/>
    <n v="1"/>
    <n v="25"/>
    <n v="4"/>
    <n v="3"/>
    <n v="80"/>
    <n v="3"/>
    <n v="10"/>
    <n v="2"/>
    <n v="10"/>
    <n v="7"/>
    <n v="0"/>
    <n v="9"/>
  </r>
  <r>
    <s v="No"/>
    <s v="Non-Travel"/>
    <x v="2"/>
    <s v="Current Employees"/>
    <x v="0"/>
    <x v="3"/>
    <x v="121"/>
    <x v="121"/>
    <x v="1"/>
    <x v="0"/>
    <x v="1"/>
    <s v="No"/>
    <s v="Y"/>
    <n v="2"/>
    <n v="-2"/>
    <n v="0"/>
    <x v="3"/>
    <x v="1"/>
    <m/>
    <n v="0"/>
    <n v="1"/>
    <n v="750"/>
    <n v="22"/>
    <x v="0"/>
    <n v="1"/>
    <n v="3"/>
    <n v="95"/>
    <n v="3"/>
    <n v="2"/>
    <n v="3"/>
    <n v="6146"/>
    <n v="15480"/>
    <n v="0"/>
    <n v="13"/>
    <n v="3"/>
    <n v="1"/>
    <n v="80"/>
    <n v="1"/>
    <n v="8"/>
    <n v="4"/>
    <n v="7"/>
    <n v="7"/>
    <n v="0"/>
    <n v="7"/>
  </r>
  <r>
    <s v="Yes"/>
    <s v="Travel_Rarely"/>
    <x v="3"/>
    <s v="Ex-Employees"/>
    <x v="1"/>
    <x v="0"/>
    <x v="122"/>
    <x v="122"/>
    <x v="0"/>
    <x v="1"/>
    <x v="1"/>
    <s v="Yes"/>
    <s v="Y"/>
    <n v="2"/>
    <n v="-2"/>
    <n v="0"/>
    <x v="29"/>
    <x v="0"/>
    <n v="1"/>
    <n v="1"/>
    <n v="0"/>
    <n v="441"/>
    <n v="14"/>
    <x v="2"/>
    <n v="1"/>
    <n v="2"/>
    <n v="72"/>
    <n v="3"/>
    <n v="1"/>
    <n v="2"/>
    <n v="4963"/>
    <n v="4510"/>
    <n v="9"/>
    <n v="18"/>
    <n v="3"/>
    <n v="1"/>
    <n v="80"/>
    <n v="3"/>
    <n v="7"/>
    <n v="3"/>
    <n v="5"/>
    <n v="4"/>
    <n v="4"/>
    <n v="3"/>
  </r>
  <r>
    <s v="No"/>
    <s v="Travel_Rarely"/>
    <x v="1"/>
    <s v="Current Employees"/>
    <x v="1"/>
    <x v="0"/>
    <x v="123"/>
    <x v="123"/>
    <x v="1"/>
    <x v="7"/>
    <x v="0"/>
    <s v="No"/>
    <s v="Y"/>
    <n v="5"/>
    <n v="-2"/>
    <n v="0"/>
    <x v="31"/>
    <x v="1"/>
    <m/>
    <n v="0"/>
    <n v="1"/>
    <n v="684"/>
    <n v="6"/>
    <x v="3"/>
    <n v="1"/>
    <n v="1"/>
    <n v="51"/>
    <n v="3"/>
    <n v="5"/>
    <n v="2"/>
    <n v="19537"/>
    <n v="6462"/>
    <n v="7"/>
    <n v="13"/>
    <n v="3"/>
    <n v="3"/>
    <n v="80"/>
    <n v="0"/>
    <n v="23"/>
    <n v="3"/>
    <n v="20"/>
    <n v="18"/>
    <n v="15"/>
    <n v="15"/>
  </r>
  <r>
    <s v="Yes"/>
    <s v="Travel_Rarely"/>
    <x v="2"/>
    <s v="Ex-Employees"/>
    <x v="0"/>
    <x v="0"/>
    <x v="124"/>
    <x v="124"/>
    <x v="1"/>
    <x v="0"/>
    <x v="1"/>
    <s v="Yes"/>
    <s v="Y"/>
    <n v="3"/>
    <n v="-2"/>
    <n v="0"/>
    <x v="12"/>
    <x v="0"/>
    <n v="1"/>
    <n v="1"/>
    <n v="0"/>
    <n v="249"/>
    <n v="6"/>
    <x v="2"/>
    <n v="1"/>
    <n v="2"/>
    <n v="76"/>
    <n v="1"/>
    <n v="2"/>
    <n v="2"/>
    <n v="6172"/>
    <n v="20739"/>
    <n v="4"/>
    <n v="18"/>
    <n v="3"/>
    <n v="2"/>
    <n v="80"/>
    <n v="0"/>
    <n v="12"/>
    <n v="2"/>
    <n v="7"/>
    <n v="7"/>
    <n v="7"/>
    <n v="7"/>
  </r>
  <r>
    <s v="No"/>
    <s v="Travel_Rarely"/>
    <x v="2"/>
    <s v="Current Employees"/>
    <x v="1"/>
    <x v="1"/>
    <x v="125"/>
    <x v="125"/>
    <x v="0"/>
    <x v="1"/>
    <x v="1"/>
    <s v="No"/>
    <s v="Y"/>
    <n v="3"/>
    <n v="-2"/>
    <n v="0"/>
    <x v="25"/>
    <x v="1"/>
    <m/>
    <n v="0"/>
    <n v="1"/>
    <n v="841"/>
    <n v="6"/>
    <x v="3"/>
    <n v="1"/>
    <n v="3"/>
    <n v="46"/>
    <n v="2"/>
    <n v="1"/>
    <n v="3"/>
    <n v="2368"/>
    <n v="23300"/>
    <n v="1"/>
    <n v="19"/>
    <n v="3"/>
    <n v="3"/>
    <n v="80"/>
    <n v="0"/>
    <n v="5"/>
    <n v="2"/>
    <n v="5"/>
    <n v="4"/>
    <n v="4"/>
    <n v="3"/>
  </r>
  <r>
    <s v="Yes"/>
    <s v="Travel_Rarely"/>
    <x v="3"/>
    <s v="Ex-Employees"/>
    <x v="1"/>
    <x v="2"/>
    <x v="126"/>
    <x v="126"/>
    <x v="0"/>
    <x v="4"/>
    <x v="1"/>
    <s v="No"/>
    <s v="Y"/>
    <n v="3"/>
    <n v="-2"/>
    <n v="0"/>
    <x v="34"/>
    <x v="0"/>
    <n v="1"/>
    <n v="1"/>
    <n v="0"/>
    <n v="147"/>
    <n v="23"/>
    <x v="2"/>
    <n v="1"/>
    <n v="4"/>
    <n v="94"/>
    <n v="3"/>
    <n v="3"/>
    <n v="4"/>
    <n v="10312"/>
    <n v="3465"/>
    <n v="1"/>
    <n v="12"/>
    <n v="3"/>
    <n v="4"/>
    <n v="80"/>
    <n v="1"/>
    <n v="40"/>
    <n v="2"/>
    <n v="40"/>
    <n v="10"/>
    <n v="15"/>
    <n v="6"/>
  </r>
  <r>
    <s v="Yes"/>
    <s v="Travel_Rarely"/>
    <x v="4"/>
    <s v="Ex-Employees"/>
    <x v="0"/>
    <x v="3"/>
    <x v="127"/>
    <x v="127"/>
    <x v="1"/>
    <x v="6"/>
    <x v="0"/>
    <s v="Yes"/>
    <s v="Y"/>
    <n v="2"/>
    <n v="-2"/>
    <n v="0"/>
    <x v="37"/>
    <x v="0"/>
    <n v="1"/>
    <n v="1"/>
    <n v="0"/>
    <n v="528"/>
    <n v="22"/>
    <x v="1"/>
    <n v="1"/>
    <n v="4"/>
    <n v="50"/>
    <n v="3"/>
    <n v="1"/>
    <n v="3"/>
    <n v="1675"/>
    <n v="26820"/>
    <n v="1"/>
    <n v="19"/>
    <n v="3"/>
    <n v="4"/>
    <n v="80"/>
    <n v="0"/>
    <n v="0"/>
    <n v="2"/>
    <n v="0"/>
    <n v="0"/>
    <n v="0"/>
    <n v="0"/>
  </r>
  <r>
    <s v="No"/>
    <s v="Travel_Rarely"/>
    <x v="4"/>
    <s v="Current Employees"/>
    <x v="1"/>
    <x v="4"/>
    <x v="128"/>
    <x v="128"/>
    <x v="1"/>
    <x v="2"/>
    <x v="1"/>
    <s v="No"/>
    <s v="Y"/>
    <n v="2"/>
    <n v="-2"/>
    <n v="0"/>
    <x v="15"/>
    <x v="1"/>
    <m/>
    <n v="0"/>
    <n v="1"/>
    <n v="594"/>
    <n v="2"/>
    <x v="1"/>
    <n v="1"/>
    <n v="3"/>
    <n v="100"/>
    <n v="3"/>
    <n v="1"/>
    <n v="4"/>
    <n v="2523"/>
    <n v="19299"/>
    <n v="0"/>
    <n v="14"/>
    <n v="3"/>
    <n v="3"/>
    <n v="80"/>
    <n v="1"/>
    <n v="3"/>
    <n v="3"/>
    <n v="2"/>
    <n v="1"/>
    <n v="2"/>
    <n v="1"/>
  </r>
  <r>
    <s v="No"/>
    <s v="Travel_Rarely"/>
    <x v="1"/>
    <s v="Current Employees"/>
    <x v="1"/>
    <x v="2"/>
    <x v="129"/>
    <x v="129"/>
    <x v="0"/>
    <x v="3"/>
    <x v="1"/>
    <s v="No"/>
    <s v="Y"/>
    <n v="2"/>
    <n v="-2"/>
    <n v="0"/>
    <x v="1"/>
    <x v="1"/>
    <m/>
    <n v="0"/>
    <n v="1"/>
    <n v="470"/>
    <n v="20"/>
    <x v="2"/>
    <n v="1"/>
    <n v="3"/>
    <n v="96"/>
    <n v="3"/>
    <n v="2"/>
    <n v="1"/>
    <n v="6567"/>
    <n v="5549"/>
    <n v="1"/>
    <n v="14"/>
    <n v="3"/>
    <n v="3"/>
    <n v="80"/>
    <n v="0"/>
    <n v="16"/>
    <n v="2"/>
    <n v="15"/>
    <n v="11"/>
    <n v="5"/>
    <n v="11"/>
  </r>
  <r>
    <s v="No"/>
    <s v="Travel_Frequently"/>
    <x v="0"/>
    <s v="Current Employees"/>
    <x v="1"/>
    <x v="2"/>
    <x v="130"/>
    <x v="130"/>
    <x v="0"/>
    <x v="1"/>
    <x v="0"/>
    <s v="No"/>
    <s v="Y"/>
    <n v="2"/>
    <n v="-2"/>
    <n v="0"/>
    <x v="23"/>
    <x v="1"/>
    <m/>
    <n v="0"/>
    <n v="1"/>
    <n v="957"/>
    <n v="28"/>
    <x v="3"/>
    <n v="1"/>
    <n v="2"/>
    <n v="72"/>
    <n v="4"/>
    <n v="1"/>
    <n v="3"/>
    <n v="4739"/>
    <n v="16090"/>
    <n v="4"/>
    <n v="12"/>
    <n v="3"/>
    <n v="4"/>
    <n v="80"/>
    <n v="0"/>
    <n v="18"/>
    <n v="3"/>
    <n v="3"/>
    <n v="2"/>
    <n v="1"/>
    <n v="2"/>
  </r>
  <r>
    <s v="No"/>
    <s v="Travel_Frequently"/>
    <x v="1"/>
    <s v="Current Employees"/>
    <x v="0"/>
    <x v="3"/>
    <x v="131"/>
    <x v="131"/>
    <x v="0"/>
    <x v="0"/>
    <x v="0"/>
    <s v="No"/>
    <s v="Y"/>
    <n v="3"/>
    <n v="-2"/>
    <n v="0"/>
    <x v="24"/>
    <x v="1"/>
    <m/>
    <n v="0"/>
    <n v="1"/>
    <n v="809"/>
    <n v="12"/>
    <x v="3"/>
    <n v="1"/>
    <n v="3"/>
    <n v="77"/>
    <n v="3"/>
    <n v="3"/>
    <n v="4"/>
    <n v="9208"/>
    <n v="6645"/>
    <n v="4"/>
    <n v="11"/>
    <n v="3"/>
    <n v="4"/>
    <n v="80"/>
    <n v="0"/>
    <n v="16"/>
    <n v="3"/>
    <n v="2"/>
    <n v="2"/>
    <n v="2"/>
    <n v="1"/>
  </r>
  <r>
    <s v="Yes"/>
    <s v="Travel_Rarely"/>
    <x v="2"/>
    <s v="Ex-Employees"/>
    <x v="0"/>
    <x v="0"/>
    <x v="132"/>
    <x v="132"/>
    <x v="0"/>
    <x v="0"/>
    <x v="1"/>
    <s v="Yes"/>
    <s v="Y"/>
    <n v="2"/>
    <n v="-2"/>
    <n v="0"/>
    <x v="12"/>
    <x v="0"/>
    <n v="1"/>
    <n v="1"/>
    <n v="0"/>
    <n v="542"/>
    <n v="20"/>
    <x v="3"/>
    <n v="1"/>
    <n v="2"/>
    <n v="71"/>
    <n v="1"/>
    <n v="2"/>
    <n v="2"/>
    <n v="4559"/>
    <n v="24788"/>
    <n v="3"/>
    <n v="11"/>
    <n v="3"/>
    <n v="3"/>
    <n v="80"/>
    <n v="1"/>
    <n v="4"/>
    <n v="3"/>
    <n v="2"/>
    <n v="2"/>
    <n v="2"/>
    <n v="2"/>
  </r>
  <r>
    <s v="No"/>
    <s v="Travel_Rarely"/>
    <x v="0"/>
    <s v="Current Employees"/>
    <x v="0"/>
    <x v="0"/>
    <x v="133"/>
    <x v="133"/>
    <x v="1"/>
    <x v="0"/>
    <x v="2"/>
    <s v="Yes"/>
    <s v="Y"/>
    <n v="2"/>
    <n v="-2"/>
    <n v="0"/>
    <x v="0"/>
    <x v="1"/>
    <m/>
    <n v="0"/>
    <n v="1"/>
    <n v="802"/>
    <n v="9"/>
    <x v="1"/>
    <n v="1"/>
    <n v="3"/>
    <n v="96"/>
    <n v="3"/>
    <n v="3"/>
    <n v="2"/>
    <n v="8189"/>
    <n v="21196"/>
    <n v="3"/>
    <n v="13"/>
    <n v="3"/>
    <n v="3"/>
    <n v="80"/>
    <n v="1"/>
    <n v="12"/>
    <n v="3"/>
    <n v="9"/>
    <n v="7"/>
    <n v="0"/>
    <n v="7"/>
  </r>
  <r>
    <s v="No"/>
    <s v="Travel_Rarely"/>
    <x v="2"/>
    <s v="Current Employees"/>
    <x v="2"/>
    <x v="0"/>
    <x v="134"/>
    <x v="134"/>
    <x v="0"/>
    <x v="8"/>
    <x v="1"/>
    <s v="No"/>
    <s v="Y"/>
    <n v="3"/>
    <n v="-2"/>
    <n v="0"/>
    <x v="25"/>
    <x v="1"/>
    <m/>
    <n v="0"/>
    <n v="1"/>
    <n v="1355"/>
    <n v="25"/>
    <x v="1"/>
    <n v="1"/>
    <n v="3"/>
    <n v="61"/>
    <n v="3"/>
    <n v="1"/>
    <n v="2"/>
    <n v="2942"/>
    <n v="8916"/>
    <n v="1"/>
    <n v="23"/>
    <n v="4"/>
    <n v="4"/>
    <n v="80"/>
    <n v="1"/>
    <n v="8"/>
    <n v="3"/>
    <n v="8"/>
    <n v="7"/>
    <n v="5"/>
    <n v="7"/>
  </r>
  <r>
    <s v="No"/>
    <s v="Travel_Rarely"/>
    <x v="0"/>
    <s v="Current Employees"/>
    <x v="1"/>
    <x v="2"/>
    <x v="135"/>
    <x v="135"/>
    <x v="1"/>
    <x v="3"/>
    <x v="2"/>
    <s v="No"/>
    <s v="Y"/>
    <n v="0"/>
    <n v="-2"/>
    <n v="0"/>
    <x v="9"/>
    <x v="1"/>
    <m/>
    <n v="0"/>
    <n v="1"/>
    <n v="216"/>
    <n v="6"/>
    <x v="0"/>
    <n v="1"/>
    <n v="2"/>
    <n v="84"/>
    <n v="3"/>
    <n v="2"/>
    <n v="3"/>
    <n v="4941"/>
    <n v="2819"/>
    <n v="6"/>
    <n v="20"/>
    <n v="4"/>
    <n v="4"/>
    <n v="80"/>
    <n v="2"/>
    <n v="7"/>
    <n v="3"/>
    <n v="3"/>
    <n v="2"/>
    <n v="0"/>
    <n v="1"/>
  </r>
  <r>
    <s v="Yes"/>
    <s v="Travel_Frequently"/>
    <x v="1"/>
    <s v="Ex-Employees"/>
    <x v="1"/>
    <x v="0"/>
    <x v="136"/>
    <x v="136"/>
    <x v="1"/>
    <x v="3"/>
    <x v="0"/>
    <s v="No"/>
    <s v="Y"/>
    <n v="2"/>
    <n v="-2"/>
    <n v="0"/>
    <x v="31"/>
    <x v="0"/>
    <n v="1"/>
    <n v="1"/>
    <n v="0"/>
    <n v="1150"/>
    <n v="8"/>
    <x v="2"/>
    <n v="1"/>
    <n v="1"/>
    <n v="53"/>
    <n v="1"/>
    <n v="3"/>
    <n v="2"/>
    <n v="10650"/>
    <n v="25150"/>
    <n v="2"/>
    <n v="15"/>
    <n v="3"/>
    <n v="4"/>
    <n v="80"/>
    <n v="0"/>
    <n v="18"/>
    <n v="3"/>
    <n v="4"/>
    <n v="2"/>
    <n v="0"/>
    <n v="3"/>
  </r>
  <r>
    <s v="No"/>
    <s v="Travel_Rarely"/>
    <x v="0"/>
    <s v="Current Employees"/>
    <x v="0"/>
    <x v="0"/>
    <x v="137"/>
    <x v="137"/>
    <x v="0"/>
    <x v="0"/>
    <x v="1"/>
    <s v="No"/>
    <s v="Y"/>
    <n v="1"/>
    <n v="-2"/>
    <n v="0"/>
    <x v="22"/>
    <x v="1"/>
    <m/>
    <n v="0"/>
    <n v="1"/>
    <n v="1329"/>
    <n v="4"/>
    <x v="2"/>
    <n v="1"/>
    <n v="4"/>
    <n v="47"/>
    <n v="2"/>
    <n v="2"/>
    <n v="2"/>
    <n v="5902"/>
    <n v="14590"/>
    <n v="4"/>
    <n v="14"/>
    <n v="3"/>
    <n v="3"/>
    <n v="80"/>
    <n v="1"/>
    <n v="17"/>
    <n v="4"/>
    <n v="15"/>
    <n v="11"/>
    <n v="5"/>
    <n v="9"/>
  </r>
  <r>
    <s v="No"/>
    <s v="Travel_Rarely"/>
    <x v="2"/>
    <s v="Current Employees"/>
    <x v="0"/>
    <x v="0"/>
    <x v="138"/>
    <x v="138"/>
    <x v="1"/>
    <x v="0"/>
    <x v="1"/>
    <s v="No"/>
    <s v="Y"/>
    <n v="3"/>
    <n v="-2"/>
    <n v="0"/>
    <x v="36"/>
    <x v="1"/>
    <m/>
    <n v="0"/>
    <n v="1"/>
    <n v="959"/>
    <n v="28"/>
    <x v="3"/>
    <n v="1"/>
    <n v="1"/>
    <n v="41"/>
    <n v="2"/>
    <n v="2"/>
    <n v="2"/>
    <n v="8639"/>
    <n v="24835"/>
    <n v="2"/>
    <n v="18"/>
    <n v="3"/>
    <n v="4"/>
    <n v="80"/>
    <n v="0"/>
    <n v="6"/>
    <n v="3"/>
    <n v="2"/>
    <n v="2"/>
    <n v="2"/>
    <n v="2"/>
  </r>
  <r>
    <s v="No"/>
    <s v="Travel_Rarely"/>
    <x v="2"/>
    <s v="Current Employees"/>
    <x v="2"/>
    <x v="5"/>
    <x v="139"/>
    <x v="139"/>
    <x v="1"/>
    <x v="8"/>
    <x v="1"/>
    <s v="Yes"/>
    <s v="Y"/>
    <n v="2"/>
    <n v="-2"/>
    <n v="0"/>
    <x v="7"/>
    <x v="1"/>
    <m/>
    <n v="0"/>
    <n v="1"/>
    <n v="1240"/>
    <n v="9"/>
    <x v="3"/>
    <n v="1"/>
    <n v="3"/>
    <n v="48"/>
    <n v="3"/>
    <n v="2"/>
    <n v="4"/>
    <n v="6347"/>
    <n v="13982"/>
    <n v="0"/>
    <n v="19"/>
    <n v="3"/>
    <n v="4"/>
    <n v="80"/>
    <n v="0"/>
    <n v="12"/>
    <n v="1"/>
    <n v="11"/>
    <n v="9"/>
    <n v="4"/>
    <n v="7"/>
  </r>
  <r>
    <s v="Yes"/>
    <s v="Travel_Rarely"/>
    <x v="2"/>
    <s v="Ex-Employees"/>
    <x v="1"/>
    <x v="2"/>
    <x v="140"/>
    <x v="140"/>
    <x v="0"/>
    <x v="2"/>
    <x v="0"/>
    <s v="No"/>
    <s v="Y"/>
    <n v="2"/>
    <n v="-2"/>
    <n v="0"/>
    <x v="5"/>
    <x v="0"/>
    <n v="1"/>
    <n v="1"/>
    <n v="0"/>
    <n v="1033"/>
    <n v="9"/>
    <x v="3"/>
    <n v="1"/>
    <n v="1"/>
    <n v="41"/>
    <n v="3"/>
    <n v="1"/>
    <n v="1"/>
    <n v="4200"/>
    <n v="10224"/>
    <n v="7"/>
    <n v="22"/>
    <n v="4"/>
    <n v="1"/>
    <n v="80"/>
    <n v="0"/>
    <n v="10"/>
    <n v="4"/>
    <n v="5"/>
    <n v="4"/>
    <n v="0"/>
    <n v="4"/>
  </r>
  <r>
    <s v="No"/>
    <s v="Travel_Rarely"/>
    <x v="1"/>
    <s v="Current Employees"/>
    <x v="1"/>
    <x v="2"/>
    <x v="141"/>
    <x v="141"/>
    <x v="1"/>
    <x v="1"/>
    <x v="0"/>
    <s v="No"/>
    <s v="Y"/>
    <n v="2"/>
    <n v="-2"/>
    <n v="0"/>
    <x v="28"/>
    <x v="1"/>
    <m/>
    <n v="0"/>
    <n v="1"/>
    <n v="1316"/>
    <n v="29"/>
    <x v="3"/>
    <n v="1"/>
    <n v="3"/>
    <n v="83"/>
    <n v="3"/>
    <n v="1"/>
    <n v="4"/>
    <n v="3452"/>
    <n v="9752"/>
    <n v="5"/>
    <n v="13"/>
    <n v="3"/>
    <n v="2"/>
    <n v="80"/>
    <n v="0"/>
    <n v="9"/>
    <n v="2"/>
    <n v="6"/>
    <n v="5"/>
    <n v="0"/>
    <n v="3"/>
  </r>
  <r>
    <s v="No"/>
    <s v="Travel_Rarely"/>
    <x v="0"/>
    <s v="Current Employees"/>
    <x v="1"/>
    <x v="4"/>
    <x v="142"/>
    <x v="142"/>
    <x v="0"/>
    <x v="1"/>
    <x v="0"/>
    <s v="Yes"/>
    <s v="Y"/>
    <n v="2"/>
    <n v="-2"/>
    <n v="0"/>
    <x v="8"/>
    <x v="1"/>
    <m/>
    <n v="0"/>
    <n v="1"/>
    <n v="364"/>
    <n v="3"/>
    <x v="4"/>
    <n v="1"/>
    <n v="4"/>
    <n v="32"/>
    <n v="3"/>
    <n v="2"/>
    <n v="3"/>
    <n v="4317"/>
    <n v="2302"/>
    <n v="3"/>
    <n v="20"/>
    <n v="4"/>
    <n v="2"/>
    <n v="80"/>
    <n v="0"/>
    <n v="19"/>
    <n v="3"/>
    <n v="3"/>
    <n v="2"/>
    <n v="2"/>
    <n v="2"/>
  </r>
  <r>
    <s v="No"/>
    <s v="Travel_Rarely"/>
    <x v="2"/>
    <s v="Current Employees"/>
    <x v="1"/>
    <x v="0"/>
    <x v="143"/>
    <x v="143"/>
    <x v="0"/>
    <x v="1"/>
    <x v="0"/>
    <s v="No"/>
    <s v="Y"/>
    <n v="4"/>
    <n v="-2"/>
    <n v="0"/>
    <x v="7"/>
    <x v="1"/>
    <m/>
    <n v="0"/>
    <n v="1"/>
    <n v="438"/>
    <n v="18"/>
    <x v="3"/>
    <n v="1"/>
    <n v="1"/>
    <n v="75"/>
    <n v="3"/>
    <n v="1"/>
    <n v="2"/>
    <n v="2632"/>
    <n v="23910"/>
    <n v="1"/>
    <n v="14"/>
    <n v="3"/>
    <n v="3"/>
    <n v="80"/>
    <n v="0"/>
    <n v="5"/>
    <n v="2"/>
    <n v="5"/>
    <n v="4"/>
    <n v="0"/>
    <n v="4"/>
  </r>
  <r>
    <s v="No"/>
    <s v="Travel_Frequently"/>
    <x v="2"/>
    <s v="Current Employees"/>
    <x v="0"/>
    <x v="2"/>
    <x v="144"/>
    <x v="144"/>
    <x v="1"/>
    <x v="0"/>
    <x v="2"/>
    <s v="No"/>
    <s v="Y"/>
    <n v="2"/>
    <n v="-2"/>
    <n v="0"/>
    <x v="5"/>
    <x v="1"/>
    <m/>
    <n v="0"/>
    <n v="1"/>
    <n v="689"/>
    <n v="9"/>
    <x v="0"/>
    <n v="1"/>
    <n v="4"/>
    <n v="35"/>
    <n v="1"/>
    <n v="2"/>
    <n v="4"/>
    <n v="4668"/>
    <n v="22812"/>
    <n v="0"/>
    <n v="17"/>
    <n v="3"/>
    <n v="4"/>
    <n v="80"/>
    <n v="3"/>
    <n v="9"/>
    <n v="4"/>
    <n v="8"/>
    <n v="7"/>
    <n v="0"/>
    <n v="7"/>
  </r>
  <r>
    <s v="No"/>
    <s v="Travel_Rarely"/>
    <x v="2"/>
    <s v="Current Employees"/>
    <x v="1"/>
    <x v="4"/>
    <x v="145"/>
    <x v="145"/>
    <x v="0"/>
    <x v="1"/>
    <x v="2"/>
    <s v="No"/>
    <s v="Y"/>
    <n v="3"/>
    <n v="-2"/>
    <n v="0"/>
    <x v="7"/>
    <x v="1"/>
    <m/>
    <n v="0"/>
    <n v="1"/>
    <n v="201"/>
    <n v="5"/>
    <x v="3"/>
    <n v="1"/>
    <n v="4"/>
    <n v="84"/>
    <n v="3"/>
    <n v="1"/>
    <n v="4"/>
    <n v="3204"/>
    <n v="10415"/>
    <n v="5"/>
    <n v="14"/>
    <n v="3"/>
    <n v="4"/>
    <n v="80"/>
    <n v="1"/>
    <n v="8"/>
    <n v="3"/>
    <n v="3"/>
    <n v="2"/>
    <n v="2"/>
    <n v="2"/>
  </r>
  <r>
    <s v="No"/>
    <s v="Travel_Rarely"/>
    <x v="2"/>
    <s v="Current Employees"/>
    <x v="1"/>
    <x v="2"/>
    <x v="146"/>
    <x v="146"/>
    <x v="1"/>
    <x v="2"/>
    <x v="0"/>
    <s v="No"/>
    <s v="Y"/>
    <n v="3"/>
    <n v="-2"/>
    <n v="0"/>
    <x v="7"/>
    <x v="1"/>
    <m/>
    <n v="0"/>
    <n v="1"/>
    <n v="1427"/>
    <n v="2"/>
    <x v="1"/>
    <n v="1"/>
    <n v="2"/>
    <n v="35"/>
    <n v="2"/>
    <n v="1"/>
    <n v="4"/>
    <n v="2720"/>
    <n v="11162"/>
    <n v="0"/>
    <n v="13"/>
    <n v="3"/>
    <n v="4"/>
    <n v="80"/>
    <n v="0"/>
    <n v="6"/>
    <n v="3"/>
    <n v="5"/>
    <n v="3"/>
    <n v="1"/>
    <n v="2"/>
  </r>
  <r>
    <s v="No"/>
    <s v="Travel_Frequently"/>
    <x v="0"/>
    <s v="Current Employees"/>
    <x v="1"/>
    <x v="0"/>
    <x v="147"/>
    <x v="147"/>
    <x v="1"/>
    <x v="5"/>
    <x v="2"/>
    <s v="No"/>
    <s v="Y"/>
    <n v="2"/>
    <n v="-2"/>
    <n v="0"/>
    <x v="0"/>
    <x v="1"/>
    <m/>
    <n v="0"/>
    <n v="1"/>
    <n v="857"/>
    <n v="10"/>
    <x v="3"/>
    <n v="1"/>
    <n v="4"/>
    <n v="91"/>
    <n v="2"/>
    <n v="4"/>
    <n v="2"/>
    <n v="17181"/>
    <n v="12888"/>
    <n v="4"/>
    <n v="13"/>
    <n v="3"/>
    <n v="2"/>
    <n v="80"/>
    <n v="1"/>
    <n v="21"/>
    <n v="2"/>
    <n v="7"/>
    <n v="6"/>
    <n v="7"/>
    <n v="7"/>
  </r>
  <r>
    <s v="No"/>
    <s v="Travel_Rarely"/>
    <x v="0"/>
    <s v="Current Employees"/>
    <x v="1"/>
    <x v="0"/>
    <x v="148"/>
    <x v="148"/>
    <x v="1"/>
    <x v="2"/>
    <x v="1"/>
    <s v="No"/>
    <s v="Y"/>
    <n v="2"/>
    <n v="-2"/>
    <n v="0"/>
    <x v="0"/>
    <x v="1"/>
    <m/>
    <n v="0"/>
    <n v="1"/>
    <n v="933"/>
    <n v="9"/>
    <x v="2"/>
    <n v="1"/>
    <n v="3"/>
    <n v="94"/>
    <n v="3"/>
    <n v="1"/>
    <n v="2"/>
    <n v="2238"/>
    <n v="6961"/>
    <n v="2"/>
    <n v="21"/>
    <n v="4"/>
    <n v="4"/>
    <n v="80"/>
    <n v="1"/>
    <n v="7"/>
    <n v="3"/>
    <n v="5"/>
    <n v="0"/>
    <n v="1"/>
    <n v="4"/>
  </r>
  <r>
    <s v="No"/>
    <s v="Travel_Rarely"/>
    <x v="4"/>
    <s v="Current Employees"/>
    <x v="1"/>
    <x v="2"/>
    <x v="149"/>
    <x v="149"/>
    <x v="0"/>
    <x v="2"/>
    <x v="0"/>
    <s v="No"/>
    <s v="Y"/>
    <n v="3"/>
    <n v="-2"/>
    <n v="0"/>
    <x v="37"/>
    <x v="1"/>
    <m/>
    <n v="0"/>
    <n v="1"/>
    <n v="1181"/>
    <n v="3"/>
    <x v="1"/>
    <n v="1"/>
    <n v="2"/>
    <n v="79"/>
    <n v="3"/>
    <n v="1"/>
    <n v="3"/>
    <n v="1483"/>
    <n v="16102"/>
    <n v="1"/>
    <n v="14"/>
    <n v="3"/>
    <n v="4"/>
    <n v="80"/>
    <n v="0"/>
    <n v="1"/>
    <n v="3"/>
    <n v="1"/>
    <n v="0"/>
    <n v="0"/>
    <n v="0"/>
  </r>
  <r>
    <s v="No"/>
    <s v="Travel_Frequently"/>
    <x v="0"/>
    <s v="Current Employees"/>
    <x v="1"/>
    <x v="2"/>
    <x v="150"/>
    <x v="150"/>
    <x v="0"/>
    <x v="1"/>
    <x v="2"/>
    <s v="No"/>
    <s v="Y"/>
    <n v="2"/>
    <n v="-2"/>
    <n v="0"/>
    <x v="32"/>
    <x v="1"/>
    <m/>
    <n v="0"/>
    <n v="1"/>
    <n v="1395"/>
    <n v="26"/>
    <x v="3"/>
    <n v="1"/>
    <n v="2"/>
    <n v="54"/>
    <n v="3"/>
    <n v="2"/>
    <n v="3"/>
    <n v="5605"/>
    <n v="8504"/>
    <n v="1"/>
    <n v="11"/>
    <n v="3"/>
    <n v="1"/>
    <n v="80"/>
    <n v="1"/>
    <n v="20"/>
    <n v="3"/>
    <n v="20"/>
    <n v="7"/>
    <n v="2"/>
    <n v="13"/>
  </r>
  <r>
    <s v="No"/>
    <s v="Travel_Rarely"/>
    <x v="0"/>
    <s v="Current Employees"/>
    <x v="0"/>
    <x v="3"/>
    <x v="151"/>
    <x v="151"/>
    <x v="1"/>
    <x v="0"/>
    <x v="1"/>
    <s v="No"/>
    <s v="Y"/>
    <n v="3"/>
    <n v="-2"/>
    <n v="0"/>
    <x v="10"/>
    <x v="1"/>
    <m/>
    <n v="0"/>
    <n v="1"/>
    <n v="662"/>
    <n v="1"/>
    <x v="4"/>
    <n v="1"/>
    <n v="3"/>
    <n v="94"/>
    <n v="3"/>
    <n v="3"/>
    <n v="3"/>
    <n v="7295"/>
    <n v="11439"/>
    <n v="1"/>
    <n v="13"/>
    <n v="3"/>
    <n v="1"/>
    <n v="80"/>
    <n v="2"/>
    <n v="10"/>
    <n v="3"/>
    <n v="10"/>
    <n v="8"/>
    <n v="0"/>
    <n v="6"/>
  </r>
  <r>
    <s v="No"/>
    <s v="Travel_Rarely"/>
    <x v="1"/>
    <s v="Current Employees"/>
    <x v="0"/>
    <x v="3"/>
    <x v="152"/>
    <x v="152"/>
    <x v="1"/>
    <x v="6"/>
    <x v="1"/>
    <s v="Yes"/>
    <s v="Y"/>
    <n v="3"/>
    <n v="-2"/>
    <n v="0"/>
    <x v="16"/>
    <x v="1"/>
    <m/>
    <n v="0"/>
    <n v="1"/>
    <n v="1436"/>
    <n v="6"/>
    <x v="0"/>
    <n v="1"/>
    <n v="2"/>
    <n v="34"/>
    <n v="3"/>
    <n v="2"/>
    <n v="3"/>
    <n v="2306"/>
    <n v="16047"/>
    <n v="2"/>
    <n v="20"/>
    <n v="4"/>
    <n v="4"/>
    <n v="80"/>
    <n v="1"/>
    <n v="13"/>
    <n v="1"/>
    <n v="7"/>
    <n v="7"/>
    <n v="4"/>
    <n v="5"/>
  </r>
  <r>
    <s v="No"/>
    <s v="Travel_Rarely"/>
    <x v="1"/>
    <s v="Current Employees"/>
    <x v="1"/>
    <x v="0"/>
    <x v="153"/>
    <x v="153"/>
    <x v="1"/>
    <x v="2"/>
    <x v="2"/>
    <s v="No"/>
    <s v="Y"/>
    <n v="2"/>
    <n v="-2"/>
    <n v="0"/>
    <x v="28"/>
    <x v="1"/>
    <m/>
    <n v="0"/>
    <n v="1"/>
    <n v="194"/>
    <n v="9"/>
    <x v="3"/>
    <n v="1"/>
    <n v="2"/>
    <n v="60"/>
    <n v="3"/>
    <n v="2"/>
    <n v="2"/>
    <n v="2348"/>
    <n v="10901"/>
    <n v="8"/>
    <n v="18"/>
    <n v="3"/>
    <n v="3"/>
    <n v="80"/>
    <n v="1"/>
    <n v="20"/>
    <n v="1"/>
    <n v="17"/>
    <n v="9"/>
    <n v="0"/>
    <n v="15"/>
  </r>
  <r>
    <s v="No"/>
    <s v="Travel_Frequently"/>
    <x v="2"/>
    <s v="Current Employees"/>
    <x v="0"/>
    <x v="3"/>
    <x v="154"/>
    <x v="154"/>
    <x v="0"/>
    <x v="0"/>
    <x v="0"/>
    <s v="No"/>
    <s v="Y"/>
    <n v="2"/>
    <n v="-2"/>
    <n v="0"/>
    <x v="5"/>
    <x v="1"/>
    <m/>
    <n v="0"/>
    <n v="1"/>
    <n v="967"/>
    <n v="8"/>
    <x v="3"/>
    <n v="1"/>
    <n v="2"/>
    <n v="43"/>
    <n v="3"/>
    <n v="3"/>
    <n v="4"/>
    <n v="8998"/>
    <n v="15589"/>
    <n v="1"/>
    <n v="14"/>
    <n v="3"/>
    <n v="4"/>
    <n v="80"/>
    <n v="0"/>
    <n v="9"/>
    <n v="3"/>
    <n v="9"/>
    <n v="8"/>
    <n v="3"/>
    <n v="7"/>
  </r>
  <r>
    <s v="No"/>
    <s v="Non-Travel"/>
    <x v="2"/>
    <s v="Current Employees"/>
    <x v="1"/>
    <x v="4"/>
    <x v="155"/>
    <x v="155"/>
    <x v="1"/>
    <x v="3"/>
    <x v="1"/>
    <s v="No"/>
    <s v="Y"/>
    <n v="1"/>
    <n v="-2"/>
    <n v="0"/>
    <x v="11"/>
    <x v="1"/>
    <m/>
    <n v="0"/>
    <n v="1"/>
    <n v="1496"/>
    <n v="1"/>
    <x v="1"/>
    <n v="1"/>
    <n v="4"/>
    <n v="41"/>
    <n v="3"/>
    <n v="2"/>
    <n v="4"/>
    <n v="4319"/>
    <n v="26283"/>
    <n v="1"/>
    <n v="13"/>
    <n v="3"/>
    <n v="1"/>
    <n v="80"/>
    <n v="1"/>
    <n v="10"/>
    <n v="3"/>
    <n v="10"/>
    <n v="7"/>
    <n v="0"/>
    <n v="9"/>
  </r>
  <r>
    <s v="No"/>
    <s v="Travel_Rarely"/>
    <x v="1"/>
    <s v="Current Employees"/>
    <x v="1"/>
    <x v="2"/>
    <x v="156"/>
    <x v="156"/>
    <x v="1"/>
    <x v="3"/>
    <x v="1"/>
    <s v="No"/>
    <s v="Y"/>
    <n v="2"/>
    <n v="-2"/>
    <n v="0"/>
    <x v="31"/>
    <x v="1"/>
    <m/>
    <n v="0"/>
    <n v="1"/>
    <n v="1169"/>
    <n v="7"/>
    <x v="2"/>
    <n v="1"/>
    <n v="2"/>
    <n v="34"/>
    <n v="2"/>
    <n v="2"/>
    <n v="3"/>
    <n v="6132"/>
    <n v="13983"/>
    <n v="2"/>
    <n v="17"/>
    <n v="3"/>
    <n v="3"/>
    <n v="80"/>
    <n v="0"/>
    <n v="10"/>
    <n v="3"/>
    <n v="1"/>
    <n v="0"/>
    <n v="0"/>
    <n v="0"/>
  </r>
  <r>
    <s v="No"/>
    <s v="Travel_Rarely"/>
    <x v="3"/>
    <s v="Current Employees"/>
    <x v="1"/>
    <x v="2"/>
    <x v="157"/>
    <x v="157"/>
    <x v="0"/>
    <x v="1"/>
    <x v="1"/>
    <s v="Yes"/>
    <s v="Y"/>
    <n v="3"/>
    <n v="-2"/>
    <n v="0"/>
    <x v="34"/>
    <x v="1"/>
    <m/>
    <n v="0"/>
    <n v="1"/>
    <n v="1145"/>
    <n v="9"/>
    <x v="3"/>
    <n v="1"/>
    <n v="2"/>
    <n v="75"/>
    <n v="2"/>
    <n v="1"/>
    <n v="3"/>
    <n v="3346"/>
    <n v="11873"/>
    <n v="4"/>
    <n v="20"/>
    <n v="4"/>
    <n v="2"/>
    <n v="80"/>
    <n v="1"/>
    <n v="9"/>
    <n v="2"/>
    <n v="1"/>
    <n v="0"/>
    <n v="0"/>
    <n v="0"/>
  </r>
  <r>
    <s v="No"/>
    <s v="Travel_Rarely"/>
    <x v="0"/>
    <s v="Current Employees"/>
    <x v="0"/>
    <x v="3"/>
    <x v="158"/>
    <x v="158"/>
    <x v="1"/>
    <x v="0"/>
    <x v="1"/>
    <s v="No"/>
    <s v="Y"/>
    <n v="2"/>
    <n v="-2"/>
    <n v="0"/>
    <x v="32"/>
    <x v="1"/>
    <m/>
    <n v="0"/>
    <n v="1"/>
    <n v="630"/>
    <n v="4"/>
    <x v="2"/>
    <n v="1"/>
    <n v="3"/>
    <n v="67"/>
    <n v="2"/>
    <n v="3"/>
    <n v="4"/>
    <n v="10855"/>
    <n v="8552"/>
    <n v="7"/>
    <n v="11"/>
    <n v="3"/>
    <n v="1"/>
    <n v="80"/>
    <n v="1"/>
    <n v="15"/>
    <n v="2"/>
    <n v="12"/>
    <n v="11"/>
    <n v="2"/>
    <n v="11"/>
  </r>
  <r>
    <s v="No"/>
    <s v="Travel_Frequently"/>
    <x v="2"/>
    <s v="Current Employees"/>
    <x v="0"/>
    <x v="3"/>
    <x v="159"/>
    <x v="159"/>
    <x v="0"/>
    <x v="6"/>
    <x v="1"/>
    <s v="No"/>
    <s v="Y"/>
    <n v="3"/>
    <n v="-2"/>
    <n v="0"/>
    <x v="13"/>
    <x v="1"/>
    <m/>
    <n v="0"/>
    <n v="1"/>
    <n v="303"/>
    <n v="2"/>
    <x v="2"/>
    <n v="1"/>
    <n v="3"/>
    <n v="75"/>
    <n v="3"/>
    <n v="1"/>
    <n v="3"/>
    <n v="2231"/>
    <n v="11314"/>
    <n v="6"/>
    <n v="18"/>
    <n v="3"/>
    <n v="4"/>
    <n v="80"/>
    <n v="1"/>
    <n v="6"/>
    <n v="3"/>
    <n v="4"/>
    <n v="3"/>
    <n v="1"/>
    <n v="2"/>
  </r>
  <r>
    <s v="No"/>
    <s v="Travel_Rarely"/>
    <x v="4"/>
    <s v="Current Employees"/>
    <x v="1"/>
    <x v="2"/>
    <x v="160"/>
    <x v="160"/>
    <x v="1"/>
    <x v="1"/>
    <x v="1"/>
    <s v="No"/>
    <s v="Y"/>
    <n v="6"/>
    <n v="-2"/>
    <n v="0"/>
    <x v="15"/>
    <x v="1"/>
    <m/>
    <n v="0"/>
    <n v="1"/>
    <n v="1256"/>
    <n v="19"/>
    <x v="1"/>
    <n v="1"/>
    <n v="3"/>
    <n v="80"/>
    <n v="3"/>
    <n v="1"/>
    <n v="4"/>
    <n v="2323"/>
    <n v="11992"/>
    <n v="1"/>
    <n v="24"/>
    <n v="4"/>
    <n v="1"/>
    <n v="80"/>
    <n v="2"/>
    <n v="2"/>
    <n v="3"/>
    <n v="2"/>
    <n v="2"/>
    <n v="2"/>
    <n v="2"/>
  </r>
  <r>
    <s v="No"/>
    <s v="Non-Travel"/>
    <x v="2"/>
    <s v="Current Employees"/>
    <x v="1"/>
    <x v="2"/>
    <x v="161"/>
    <x v="161"/>
    <x v="1"/>
    <x v="1"/>
    <x v="2"/>
    <s v="No"/>
    <s v="Y"/>
    <n v="1"/>
    <n v="-2"/>
    <n v="0"/>
    <x v="4"/>
    <x v="1"/>
    <m/>
    <n v="0"/>
    <n v="1"/>
    <n v="691"/>
    <n v="9"/>
    <x v="3"/>
    <n v="1"/>
    <n v="4"/>
    <n v="57"/>
    <n v="3"/>
    <n v="1"/>
    <n v="3"/>
    <n v="2024"/>
    <n v="5970"/>
    <n v="6"/>
    <n v="18"/>
    <n v="3"/>
    <n v="4"/>
    <n v="80"/>
    <n v="1"/>
    <n v="6"/>
    <n v="1"/>
    <n v="2"/>
    <n v="2"/>
    <n v="2"/>
    <n v="2"/>
  </r>
  <r>
    <s v="No"/>
    <s v="Travel_Rarely"/>
    <x v="2"/>
    <s v="Current Employees"/>
    <x v="1"/>
    <x v="2"/>
    <x v="162"/>
    <x v="162"/>
    <x v="1"/>
    <x v="1"/>
    <x v="1"/>
    <s v="No"/>
    <s v="Y"/>
    <n v="2"/>
    <n v="-2"/>
    <n v="0"/>
    <x v="14"/>
    <x v="1"/>
    <m/>
    <n v="0"/>
    <n v="1"/>
    <n v="440"/>
    <n v="21"/>
    <x v="3"/>
    <n v="1"/>
    <n v="3"/>
    <n v="42"/>
    <n v="3"/>
    <n v="1"/>
    <n v="4"/>
    <n v="2713"/>
    <n v="6672"/>
    <n v="1"/>
    <n v="11"/>
    <n v="3"/>
    <n v="3"/>
    <n v="80"/>
    <n v="1"/>
    <n v="5"/>
    <n v="1"/>
    <n v="5"/>
    <n v="2"/>
    <n v="0"/>
    <n v="2"/>
  </r>
  <r>
    <s v="No"/>
    <s v="Travel_Rarely"/>
    <x v="3"/>
    <s v="Current Employees"/>
    <x v="1"/>
    <x v="0"/>
    <x v="163"/>
    <x v="163"/>
    <x v="1"/>
    <x v="4"/>
    <x v="2"/>
    <s v="Yes"/>
    <s v="Y"/>
    <n v="2"/>
    <n v="-2"/>
    <n v="0"/>
    <x v="38"/>
    <x v="1"/>
    <m/>
    <n v="0"/>
    <n v="1"/>
    <n v="334"/>
    <n v="24"/>
    <x v="0"/>
    <n v="1"/>
    <n v="3"/>
    <n v="83"/>
    <n v="4"/>
    <n v="3"/>
    <n v="2"/>
    <n v="9439"/>
    <n v="23402"/>
    <n v="3"/>
    <n v="16"/>
    <n v="3"/>
    <n v="2"/>
    <n v="80"/>
    <n v="1"/>
    <n v="12"/>
    <n v="1"/>
    <n v="5"/>
    <n v="3"/>
    <n v="1"/>
    <n v="4"/>
  </r>
  <r>
    <s v="No"/>
    <s v="Non-Travel"/>
    <x v="2"/>
    <s v="Current Employees"/>
    <x v="1"/>
    <x v="2"/>
    <x v="164"/>
    <x v="164"/>
    <x v="1"/>
    <x v="1"/>
    <x v="2"/>
    <s v="Yes"/>
    <s v="Y"/>
    <n v="2"/>
    <n v="-2"/>
    <n v="0"/>
    <x v="4"/>
    <x v="1"/>
    <m/>
    <n v="0"/>
    <n v="1"/>
    <n v="1450"/>
    <n v="3"/>
    <x v="3"/>
    <n v="1"/>
    <n v="3"/>
    <n v="79"/>
    <n v="2"/>
    <n v="1"/>
    <n v="3"/>
    <n v="2566"/>
    <n v="25326"/>
    <n v="1"/>
    <n v="15"/>
    <n v="3"/>
    <n v="4"/>
    <n v="80"/>
    <n v="1"/>
    <n v="1"/>
    <n v="2"/>
    <n v="1"/>
    <n v="1"/>
    <n v="0"/>
    <n v="1"/>
  </r>
  <r>
    <s v="No"/>
    <s v="Travel_Rarely"/>
    <x v="1"/>
    <s v="Current Employees"/>
    <x v="1"/>
    <x v="0"/>
    <x v="165"/>
    <x v="165"/>
    <x v="0"/>
    <x v="5"/>
    <x v="0"/>
    <s v="No"/>
    <s v="Y"/>
    <n v="5"/>
    <n v="-2"/>
    <n v="0"/>
    <x v="24"/>
    <x v="1"/>
    <m/>
    <n v="0"/>
    <n v="1"/>
    <n v="1452"/>
    <n v="11"/>
    <x v="3"/>
    <n v="1"/>
    <n v="3"/>
    <n v="53"/>
    <n v="3"/>
    <n v="5"/>
    <n v="2"/>
    <n v="19926"/>
    <n v="17053"/>
    <n v="3"/>
    <n v="15"/>
    <n v="3"/>
    <n v="2"/>
    <n v="80"/>
    <n v="0"/>
    <n v="21"/>
    <n v="3"/>
    <n v="5"/>
    <n v="4"/>
    <n v="4"/>
    <n v="4"/>
  </r>
  <r>
    <s v="No"/>
    <s v="Travel_Rarely"/>
    <x v="0"/>
    <s v="Current Employees"/>
    <x v="1"/>
    <x v="0"/>
    <x v="166"/>
    <x v="166"/>
    <x v="1"/>
    <x v="1"/>
    <x v="2"/>
    <s v="No"/>
    <s v="Y"/>
    <n v="2"/>
    <n v="-2"/>
    <n v="0"/>
    <x v="0"/>
    <x v="1"/>
    <m/>
    <n v="0"/>
    <n v="1"/>
    <n v="465"/>
    <n v="14"/>
    <x v="3"/>
    <n v="1"/>
    <n v="1"/>
    <n v="56"/>
    <n v="3"/>
    <n v="1"/>
    <n v="2"/>
    <n v="2451"/>
    <n v="4609"/>
    <n v="4"/>
    <n v="12"/>
    <n v="3"/>
    <n v="1"/>
    <n v="80"/>
    <n v="1"/>
    <n v="13"/>
    <n v="3"/>
    <n v="9"/>
    <n v="8"/>
    <n v="1"/>
    <n v="8"/>
  </r>
  <r>
    <s v="No"/>
    <s v="Travel_Rarely"/>
    <x v="2"/>
    <s v="Current Employees"/>
    <x v="0"/>
    <x v="0"/>
    <x v="167"/>
    <x v="167"/>
    <x v="0"/>
    <x v="0"/>
    <x v="1"/>
    <s v="No"/>
    <s v="Y"/>
    <n v="2"/>
    <n v="-2"/>
    <n v="0"/>
    <x v="7"/>
    <x v="1"/>
    <m/>
    <n v="0"/>
    <n v="1"/>
    <n v="1339"/>
    <n v="5"/>
    <x v="3"/>
    <n v="1"/>
    <n v="2"/>
    <n v="41"/>
    <n v="3"/>
    <n v="3"/>
    <n v="2"/>
    <n v="9419"/>
    <n v="8053"/>
    <n v="2"/>
    <n v="12"/>
    <n v="3"/>
    <n v="3"/>
    <n v="80"/>
    <n v="1"/>
    <n v="12"/>
    <n v="3"/>
    <n v="10"/>
    <n v="9"/>
    <n v="7"/>
    <n v="4"/>
  </r>
  <r>
    <s v="No"/>
    <s v="Travel_Rarely"/>
    <x v="0"/>
    <s v="Current Employees"/>
    <x v="0"/>
    <x v="0"/>
    <x v="168"/>
    <x v="168"/>
    <x v="0"/>
    <x v="0"/>
    <x v="0"/>
    <s v="No"/>
    <s v="Y"/>
    <n v="2"/>
    <n v="-2"/>
    <n v="0"/>
    <x v="8"/>
    <x v="1"/>
    <m/>
    <n v="0"/>
    <n v="1"/>
    <n v="702"/>
    <n v="1"/>
    <x v="2"/>
    <n v="1"/>
    <n v="1"/>
    <n v="59"/>
    <n v="2"/>
    <n v="2"/>
    <n v="2"/>
    <n v="8686"/>
    <n v="12930"/>
    <n v="4"/>
    <n v="22"/>
    <n v="4"/>
    <n v="3"/>
    <n v="80"/>
    <n v="0"/>
    <n v="12"/>
    <n v="4"/>
    <n v="8"/>
    <n v="3"/>
    <n v="0"/>
    <n v="7"/>
  </r>
  <r>
    <s v="No"/>
    <s v="Travel_Rarely"/>
    <x v="2"/>
    <s v="Current Employees"/>
    <x v="1"/>
    <x v="0"/>
    <x v="169"/>
    <x v="169"/>
    <x v="1"/>
    <x v="1"/>
    <x v="0"/>
    <s v="No"/>
    <s v="Y"/>
    <n v="2"/>
    <n v="-2"/>
    <n v="0"/>
    <x v="5"/>
    <x v="1"/>
    <m/>
    <n v="0"/>
    <n v="1"/>
    <n v="120"/>
    <n v="6"/>
    <x v="4"/>
    <n v="1"/>
    <n v="3"/>
    <n v="43"/>
    <n v="3"/>
    <n v="1"/>
    <n v="2"/>
    <n v="3038"/>
    <n v="12430"/>
    <n v="3"/>
    <n v="20"/>
    <n v="4"/>
    <n v="1"/>
    <n v="80"/>
    <n v="0"/>
    <n v="8"/>
    <n v="3"/>
    <n v="5"/>
    <n v="4"/>
    <n v="1"/>
    <n v="4"/>
  </r>
  <r>
    <s v="No"/>
    <s v="Travel_Rarely"/>
    <x v="2"/>
    <s v="Current Employees"/>
    <x v="1"/>
    <x v="4"/>
    <x v="170"/>
    <x v="170"/>
    <x v="1"/>
    <x v="1"/>
    <x v="1"/>
    <s v="Yes"/>
    <s v="Y"/>
    <n v="3"/>
    <n v="-2"/>
    <n v="0"/>
    <x v="4"/>
    <x v="1"/>
    <m/>
    <n v="0"/>
    <n v="1"/>
    <n v="1157"/>
    <n v="17"/>
    <x v="3"/>
    <n v="1"/>
    <n v="3"/>
    <n v="51"/>
    <n v="3"/>
    <n v="1"/>
    <n v="4"/>
    <n v="3058"/>
    <n v="13364"/>
    <n v="0"/>
    <n v="16"/>
    <n v="3"/>
    <n v="4"/>
    <n v="80"/>
    <n v="1"/>
    <n v="6"/>
    <n v="2"/>
    <n v="5"/>
    <n v="2"/>
    <n v="1"/>
    <n v="1"/>
  </r>
  <r>
    <s v="Yes"/>
    <s v="Travel_Frequently"/>
    <x v="4"/>
    <s v="Ex-Employees"/>
    <x v="0"/>
    <x v="4"/>
    <x v="171"/>
    <x v="171"/>
    <x v="0"/>
    <x v="6"/>
    <x v="0"/>
    <s v="No"/>
    <s v="Y"/>
    <n v="5"/>
    <n v="-2"/>
    <n v="0"/>
    <x v="37"/>
    <x v="0"/>
    <n v="1"/>
    <n v="1"/>
    <n v="0"/>
    <n v="602"/>
    <n v="1"/>
    <x v="1"/>
    <n v="1"/>
    <n v="3"/>
    <n v="100"/>
    <n v="1"/>
    <n v="1"/>
    <n v="4"/>
    <n v="2325"/>
    <n v="20989"/>
    <n v="0"/>
    <n v="21"/>
    <n v="4"/>
    <n v="1"/>
    <n v="80"/>
    <n v="0"/>
    <n v="1"/>
    <n v="4"/>
    <n v="0"/>
    <n v="0"/>
    <n v="0"/>
    <n v="0"/>
  </r>
  <r>
    <s v="No"/>
    <s v="Travel_Frequently"/>
    <x v="0"/>
    <s v="Current Employees"/>
    <x v="1"/>
    <x v="2"/>
    <x v="172"/>
    <x v="172"/>
    <x v="1"/>
    <x v="2"/>
    <x v="0"/>
    <s v="No"/>
    <s v="Y"/>
    <n v="3"/>
    <n v="-2"/>
    <n v="0"/>
    <x v="9"/>
    <x v="1"/>
    <m/>
    <n v="0"/>
    <n v="1"/>
    <n v="1480"/>
    <n v="3"/>
    <x v="0"/>
    <n v="1"/>
    <n v="4"/>
    <n v="30"/>
    <n v="3"/>
    <n v="1"/>
    <n v="3"/>
    <n v="2088"/>
    <n v="15062"/>
    <n v="4"/>
    <n v="12"/>
    <n v="3"/>
    <n v="3"/>
    <n v="80"/>
    <n v="0"/>
    <n v="13"/>
    <n v="2"/>
    <n v="8"/>
    <n v="7"/>
    <n v="7"/>
    <n v="2"/>
  </r>
  <r>
    <s v="No"/>
    <s v="Non-Travel"/>
    <x v="2"/>
    <s v="Current Employees"/>
    <x v="1"/>
    <x v="2"/>
    <x v="173"/>
    <x v="173"/>
    <x v="1"/>
    <x v="2"/>
    <x v="2"/>
    <s v="No"/>
    <s v="Y"/>
    <n v="4"/>
    <n v="-2"/>
    <n v="0"/>
    <x v="7"/>
    <x v="1"/>
    <m/>
    <n v="0"/>
    <n v="1"/>
    <n v="111"/>
    <n v="9"/>
    <x v="3"/>
    <n v="1"/>
    <n v="3"/>
    <n v="66"/>
    <n v="3"/>
    <n v="2"/>
    <n v="1"/>
    <n v="3072"/>
    <n v="11012"/>
    <n v="1"/>
    <n v="11"/>
    <n v="3"/>
    <n v="3"/>
    <n v="80"/>
    <n v="2"/>
    <n v="12"/>
    <n v="3"/>
    <n v="12"/>
    <n v="9"/>
    <n v="6"/>
    <n v="10"/>
  </r>
  <r>
    <s v="No"/>
    <s v="Travel_Rarely"/>
    <x v="1"/>
    <s v="Current Employees"/>
    <x v="0"/>
    <x v="0"/>
    <x v="174"/>
    <x v="174"/>
    <x v="0"/>
    <x v="0"/>
    <x v="2"/>
    <s v="Yes"/>
    <s v="Y"/>
    <n v="3"/>
    <n v="-2"/>
    <n v="0"/>
    <x v="28"/>
    <x v="1"/>
    <m/>
    <n v="0"/>
    <n v="1"/>
    <n v="1268"/>
    <n v="4"/>
    <x v="0"/>
    <n v="1"/>
    <n v="3"/>
    <n v="30"/>
    <n v="3"/>
    <n v="2"/>
    <n v="2"/>
    <n v="5006"/>
    <n v="6319"/>
    <n v="4"/>
    <n v="11"/>
    <n v="3"/>
    <n v="1"/>
    <n v="80"/>
    <n v="1"/>
    <n v="9"/>
    <n v="4"/>
    <n v="5"/>
    <n v="4"/>
    <n v="0"/>
    <n v="3"/>
  </r>
  <r>
    <s v="No"/>
    <s v="Travel_Rarely"/>
    <x v="3"/>
    <s v="Current Employees"/>
    <x v="1"/>
    <x v="0"/>
    <x v="175"/>
    <x v="175"/>
    <x v="0"/>
    <x v="1"/>
    <x v="2"/>
    <s v="Yes"/>
    <s v="Y"/>
    <n v="3"/>
    <n v="-2"/>
    <n v="0"/>
    <x v="29"/>
    <x v="1"/>
    <m/>
    <n v="0"/>
    <n v="1"/>
    <n v="713"/>
    <n v="8"/>
    <x v="3"/>
    <n v="1"/>
    <n v="3"/>
    <n v="67"/>
    <n v="3"/>
    <n v="1"/>
    <n v="2"/>
    <n v="4257"/>
    <n v="13939"/>
    <n v="4"/>
    <n v="18"/>
    <n v="3"/>
    <n v="3"/>
    <n v="80"/>
    <n v="1"/>
    <n v="19"/>
    <n v="3"/>
    <n v="2"/>
    <n v="2"/>
    <n v="2"/>
    <n v="2"/>
  </r>
  <r>
    <s v="No"/>
    <s v="Travel_Rarely"/>
    <x v="2"/>
    <s v="Current Employees"/>
    <x v="1"/>
    <x v="0"/>
    <x v="176"/>
    <x v="176"/>
    <x v="1"/>
    <x v="1"/>
    <x v="0"/>
    <s v="No"/>
    <s v="Y"/>
    <n v="2"/>
    <n v="-2"/>
    <n v="0"/>
    <x v="3"/>
    <x v="1"/>
    <m/>
    <n v="0"/>
    <n v="1"/>
    <n v="134"/>
    <n v="2"/>
    <x v="3"/>
    <n v="1"/>
    <n v="3"/>
    <n v="90"/>
    <n v="3"/>
    <n v="1"/>
    <n v="2"/>
    <n v="2500"/>
    <n v="10515"/>
    <n v="0"/>
    <n v="14"/>
    <n v="3"/>
    <n v="1"/>
    <n v="80"/>
    <n v="0"/>
    <n v="4"/>
    <n v="4"/>
    <n v="3"/>
    <n v="1"/>
    <n v="0"/>
    <n v="2"/>
  </r>
  <r>
    <s v="Yes"/>
    <s v="Travel_Rarely"/>
    <x v="4"/>
    <s v="Ex-Employees"/>
    <x v="1"/>
    <x v="0"/>
    <x v="177"/>
    <x v="177"/>
    <x v="1"/>
    <x v="2"/>
    <x v="0"/>
    <s v="No"/>
    <s v="Y"/>
    <n v="3"/>
    <n v="-2"/>
    <n v="0"/>
    <x v="37"/>
    <x v="0"/>
    <n v="1"/>
    <n v="1"/>
    <n v="0"/>
    <n v="303"/>
    <n v="2"/>
    <x v="3"/>
    <n v="1"/>
    <n v="2"/>
    <n v="47"/>
    <n v="2"/>
    <n v="1"/>
    <n v="2"/>
    <n v="1102"/>
    <n v="9241"/>
    <n v="1"/>
    <n v="22"/>
    <n v="4"/>
    <n v="3"/>
    <n v="80"/>
    <n v="0"/>
    <n v="1"/>
    <n v="2"/>
    <n v="1"/>
    <n v="0"/>
    <n v="1"/>
    <n v="0"/>
  </r>
  <r>
    <s v="No"/>
    <s v="Travel_Rarely"/>
    <x v="1"/>
    <s v="Current Employees"/>
    <x v="0"/>
    <x v="3"/>
    <x v="178"/>
    <x v="178"/>
    <x v="0"/>
    <x v="0"/>
    <x v="2"/>
    <s v="No"/>
    <s v="Y"/>
    <n v="2"/>
    <n v="-2"/>
    <n v="0"/>
    <x v="21"/>
    <x v="1"/>
    <m/>
    <n v="0"/>
    <n v="1"/>
    <n v="526"/>
    <n v="1"/>
    <x v="0"/>
    <n v="1"/>
    <n v="2"/>
    <n v="92"/>
    <n v="3"/>
    <n v="3"/>
    <n v="1"/>
    <n v="10453"/>
    <n v="2137"/>
    <n v="1"/>
    <n v="25"/>
    <n v="4"/>
    <n v="3"/>
    <n v="80"/>
    <n v="3"/>
    <n v="24"/>
    <n v="3"/>
    <n v="24"/>
    <n v="13"/>
    <n v="15"/>
    <n v="7"/>
  </r>
  <r>
    <s v="No"/>
    <s v="Travel_Rarely"/>
    <x v="0"/>
    <s v="Current Employees"/>
    <x v="1"/>
    <x v="0"/>
    <x v="179"/>
    <x v="179"/>
    <x v="0"/>
    <x v="2"/>
    <x v="0"/>
    <s v="No"/>
    <s v="Y"/>
    <n v="3"/>
    <n v="-2"/>
    <n v="0"/>
    <x v="8"/>
    <x v="1"/>
    <m/>
    <n v="0"/>
    <n v="1"/>
    <n v="1380"/>
    <n v="9"/>
    <x v="0"/>
    <n v="1"/>
    <n v="3"/>
    <n v="75"/>
    <n v="3"/>
    <n v="1"/>
    <n v="2"/>
    <n v="2288"/>
    <n v="6319"/>
    <n v="1"/>
    <n v="12"/>
    <n v="3"/>
    <n v="3"/>
    <n v="80"/>
    <n v="0"/>
    <n v="2"/>
    <n v="3"/>
    <n v="2"/>
    <n v="2"/>
    <n v="2"/>
    <n v="1"/>
  </r>
  <r>
    <s v="No"/>
    <s v="Travel_Rarely"/>
    <x v="2"/>
    <s v="Current Employees"/>
    <x v="1"/>
    <x v="2"/>
    <x v="180"/>
    <x v="180"/>
    <x v="0"/>
    <x v="1"/>
    <x v="1"/>
    <s v="Yes"/>
    <s v="Y"/>
    <n v="0"/>
    <n v="-2"/>
    <n v="0"/>
    <x v="12"/>
    <x v="1"/>
    <m/>
    <n v="0"/>
    <n v="1"/>
    <n v="140"/>
    <n v="12"/>
    <x v="1"/>
    <n v="1"/>
    <n v="3"/>
    <n v="95"/>
    <n v="3"/>
    <n v="1"/>
    <n v="4"/>
    <n v="3929"/>
    <n v="6984"/>
    <n v="8"/>
    <n v="23"/>
    <n v="4"/>
    <n v="3"/>
    <n v="80"/>
    <n v="1"/>
    <n v="7"/>
    <n v="3"/>
    <n v="4"/>
    <n v="2"/>
    <n v="0"/>
    <n v="2"/>
  </r>
  <r>
    <s v="No"/>
    <s v="Travel_Rarely"/>
    <x v="2"/>
    <s v="Current Employees"/>
    <x v="1"/>
    <x v="2"/>
    <x v="181"/>
    <x v="181"/>
    <x v="0"/>
    <x v="1"/>
    <x v="0"/>
    <s v="No"/>
    <s v="Y"/>
    <n v="3"/>
    <n v="-2"/>
    <n v="0"/>
    <x v="13"/>
    <x v="1"/>
    <m/>
    <n v="0"/>
    <n v="1"/>
    <n v="629"/>
    <n v="27"/>
    <x v="0"/>
    <n v="1"/>
    <n v="4"/>
    <n v="95"/>
    <n v="3"/>
    <n v="1"/>
    <n v="3"/>
    <n v="2311"/>
    <n v="5711"/>
    <n v="2"/>
    <n v="15"/>
    <n v="3"/>
    <n v="4"/>
    <n v="80"/>
    <n v="0"/>
    <n v="9"/>
    <n v="3"/>
    <n v="3"/>
    <n v="2"/>
    <n v="1"/>
    <n v="2"/>
  </r>
  <r>
    <s v="Yes"/>
    <s v="Travel_Rarely"/>
    <x v="0"/>
    <s v="Ex-Employees"/>
    <x v="0"/>
    <x v="3"/>
    <x v="182"/>
    <x v="182"/>
    <x v="0"/>
    <x v="6"/>
    <x v="0"/>
    <s v="Yes"/>
    <s v="Y"/>
    <n v="5"/>
    <n v="-2"/>
    <n v="0"/>
    <x v="0"/>
    <x v="0"/>
    <n v="1"/>
    <n v="1"/>
    <n v="0"/>
    <n v="1356"/>
    <n v="20"/>
    <x v="0"/>
    <n v="1"/>
    <n v="2"/>
    <n v="70"/>
    <n v="3"/>
    <n v="1"/>
    <n v="3"/>
    <n v="3140"/>
    <n v="21728"/>
    <n v="1"/>
    <n v="22"/>
    <n v="4"/>
    <n v="4"/>
    <n v="80"/>
    <n v="0"/>
    <n v="4"/>
    <n v="2"/>
    <n v="4"/>
    <n v="3"/>
    <n v="0"/>
    <n v="2"/>
  </r>
  <r>
    <s v="No"/>
    <s v="Travel_Rarely"/>
    <x v="1"/>
    <s v="Current Employees"/>
    <x v="1"/>
    <x v="2"/>
    <x v="183"/>
    <x v="183"/>
    <x v="1"/>
    <x v="2"/>
    <x v="1"/>
    <s v="No"/>
    <s v="Y"/>
    <n v="2"/>
    <n v="-2"/>
    <n v="0"/>
    <x v="24"/>
    <x v="1"/>
    <m/>
    <n v="0"/>
    <n v="1"/>
    <n v="328"/>
    <n v="1"/>
    <x v="3"/>
    <n v="1"/>
    <n v="3"/>
    <n v="86"/>
    <n v="2"/>
    <n v="1"/>
    <n v="3"/>
    <n v="3690"/>
    <n v="3425"/>
    <n v="2"/>
    <n v="15"/>
    <n v="3"/>
    <n v="4"/>
    <n v="80"/>
    <n v="1"/>
    <n v="5"/>
    <n v="2"/>
    <n v="3"/>
    <n v="2"/>
    <n v="0"/>
    <n v="2"/>
  </r>
  <r>
    <s v="No"/>
    <s v="Travel_Rarely"/>
    <x v="1"/>
    <s v="Current Employees"/>
    <x v="1"/>
    <x v="2"/>
    <x v="184"/>
    <x v="184"/>
    <x v="0"/>
    <x v="3"/>
    <x v="2"/>
    <s v="No"/>
    <s v="Y"/>
    <n v="3"/>
    <n v="-2"/>
    <n v="0"/>
    <x v="16"/>
    <x v="1"/>
    <m/>
    <n v="0"/>
    <n v="1"/>
    <n v="1084"/>
    <n v="13"/>
    <x v="0"/>
    <n v="1"/>
    <n v="4"/>
    <n v="57"/>
    <n v="4"/>
    <n v="2"/>
    <n v="3"/>
    <n v="4450"/>
    <n v="26250"/>
    <n v="1"/>
    <n v="11"/>
    <n v="3"/>
    <n v="3"/>
    <n v="80"/>
    <n v="2"/>
    <n v="5"/>
    <n v="3"/>
    <n v="4"/>
    <n v="2"/>
    <n v="1"/>
    <n v="3"/>
  </r>
  <r>
    <s v="No"/>
    <s v="Travel_Rarely"/>
    <x v="2"/>
    <s v="Current Employees"/>
    <x v="1"/>
    <x v="2"/>
    <x v="185"/>
    <x v="185"/>
    <x v="0"/>
    <x v="1"/>
    <x v="1"/>
    <s v="No"/>
    <s v="Y"/>
    <n v="5"/>
    <n v="-2"/>
    <n v="0"/>
    <x v="3"/>
    <x v="1"/>
    <m/>
    <n v="0"/>
    <n v="1"/>
    <n v="931"/>
    <n v="14"/>
    <x v="3"/>
    <n v="1"/>
    <n v="4"/>
    <n v="72"/>
    <n v="3"/>
    <n v="1"/>
    <n v="3"/>
    <n v="2756"/>
    <n v="4673"/>
    <n v="1"/>
    <n v="13"/>
    <n v="3"/>
    <n v="4"/>
    <n v="80"/>
    <n v="1"/>
    <n v="8"/>
    <n v="3"/>
    <n v="8"/>
    <n v="7"/>
    <n v="1"/>
    <n v="6"/>
  </r>
  <r>
    <s v="No"/>
    <s v="Travel_Rarely"/>
    <x v="0"/>
    <s v="Current Employees"/>
    <x v="1"/>
    <x v="2"/>
    <x v="186"/>
    <x v="186"/>
    <x v="0"/>
    <x v="5"/>
    <x v="1"/>
    <s v="No"/>
    <s v="Y"/>
    <n v="2"/>
    <n v="-2"/>
    <n v="0"/>
    <x v="32"/>
    <x v="1"/>
    <m/>
    <n v="0"/>
    <n v="1"/>
    <n v="989"/>
    <n v="4"/>
    <x v="1"/>
    <n v="1"/>
    <n v="4"/>
    <n v="46"/>
    <n v="3"/>
    <n v="5"/>
    <n v="3"/>
    <n v="19033"/>
    <n v="6499"/>
    <n v="1"/>
    <n v="14"/>
    <n v="3"/>
    <n v="2"/>
    <n v="80"/>
    <n v="1"/>
    <n v="21"/>
    <n v="3"/>
    <n v="20"/>
    <n v="8"/>
    <n v="9"/>
    <n v="9"/>
  </r>
  <r>
    <s v="No"/>
    <s v="Travel_Rarely"/>
    <x v="3"/>
    <s v="Current Employees"/>
    <x v="1"/>
    <x v="2"/>
    <x v="187"/>
    <x v="187"/>
    <x v="1"/>
    <x v="7"/>
    <x v="0"/>
    <s v="No"/>
    <s v="Y"/>
    <n v="3"/>
    <n v="-2"/>
    <n v="0"/>
    <x v="27"/>
    <x v="1"/>
    <m/>
    <n v="0"/>
    <n v="1"/>
    <n v="692"/>
    <n v="14"/>
    <x v="2"/>
    <n v="1"/>
    <n v="3"/>
    <n v="61"/>
    <n v="4"/>
    <n v="5"/>
    <n v="3"/>
    <n v="18722"/>
    <n v="13339"/>
    <n v="8"/>
    <n v="11"/>
    <n v="3"/>
    <n v="4"/>
    <n v="80"/>
    <n v="0"/>
    <n v="36"/>
    <n v="3"/>
    <n v="24"/>
    <n v="15"/>
    <n v="2"/>
    <n v="15"/>
  </r>
  <r>
    <s v="No"/>
    <s v="Travel_Frequently"/>
    <x v="2"/>
    <s v="Current Employees"/>
    <x v="1"/>
    <x v="0"/>
    <x v="188"/>
    <x v="188"/>
    <x v="1"/>
    <x v="3"/>
    <x v="1"/>
    <s v="No"/>
    <s v="Y"/>
    <n v="2"/>
    <n v="-2"/>
    <n v="0"/>
    <x v="13"/>
    <x v="1"/>
    <m/>
    <n v="0"/>
    <n v="1"/>
    <n v="1069"/>
    <n v="2"/>
    <x v="1"/>
    <n v="1"/>
    <n v="4"/>
    <n v="45"/>
    <n v="2"/>
    <n v="2"/>
    <n v="2"/>
    <n v="9547"/>
    <n v="14074"/>
    <n v="1"/>
    <n v="17"/>
    <n v="3"/>
    <n v="3"/>
    <n v="80"/>
    <n v="0"/>
    <n v="10"/>
    <n v="2"/>
    <n v="10"/>
    <n v="9"/>
    <n v="1"/>
    <n v="9"/>
  </r>
  <r>
    <s v="No"/>
    <s v="Travel_Rarely"/>
    <x v="1"/>
    <s v="Current Employees"/>
    <x v="1"/>
    <x v="2"/>
    <x v="189"/>
    <x v="189"/>
    <x v="0"/>
    <x v="4"/>
    <x v="0"/>
    <s v="No"/>
    <s v="Y"/>
    <n v="6"/>
    <n v="-2"/>
    <n v="0"/>
    <x v="31"/>
    <x v="1"/>
    <m/>
    <n v="0"/>
    <n v="1"/>
    <n v="313"/>
    <n v="3"/>
    <x v="3"/>
    <n v="1"/>
    <n v="4"/>
    <n v="98"/>
    <n v="3"/>
    <n v="4"/>
    <n v="3"/>
    <n v="13734"/>
    <n v="7192"/>
    <n v="3"/>
    <n v="18"/>
    <n v="3"/>
    <n v="3"/>
    <n v="80"/>
    <n v="0"/>
    <n v="21"/>
    <n v="3"/>
    <n v="7"/>
    <n v="7"/>
    <n v="1"/>
    <n v="0"/>
  </r>
  <r>
    <s v="No"/>
    <s v="Travel_Rarely"/>
    <x v="1"/>
    <s v="Current Employees"/>
    <x v="1"/>
    <x v="0"/>
    <x v="190"/>
    <x v="190"/>
    <x v="1"/>
    <x v="5"/>
    <x v="1"/>
    <s v="No"/>
    <s v="Y"/>
    <n v="5"/>
    <n v="-2"/>
    <n v="0"/>
    <x v="39"/>
    <x v="1"/>
    <m/>
    <n v="0"/>
    <n v="1"/>
    <n v="699"/>
    <n v="1"/>
    <x v="2"/>
    <n v="1"/>
    <n v="3"/>
    <n v="65"/>
    <n v="2"/>
    <n v="5"/>
    <n v="2"/>
    <n v="19999"/>
    <n v="5678"/>
    <n v="0"/>
    <n v="14"/>
    <n v="3"/>
    <n v="1"/>
    <n v="80"/>
    <n v="1"/>
    <n v="34"/>
    <n v="3"/>
    <n v="33"/>
    <n v="18"/>
    <n v="11"/>
    <n v="9"/>
  </r>
  <r>
    <s v="No"/>
    <s v="Travel_Rarely"/>
    <x v="2"/>
    <s v="Current Employees"/>
    <x v="1"/>
    <x v="2"/>
    <x v="191"/>
    <x v="191"/>
    <x v="0"/>
    <x v="1"/>
    <x v="0"/>
    <s v="No"/>
    <s v="Y"/>
    <n v="2"/>
    <n v="-2"/>
    <n v="0"/>
    <x v="4"/>
    <x v="1"/>
    <m/>
    <n v="0"/>
    <n v="1"/>
    <n v="894"/>
    <n v="9"/>
    <x v="3"/>
    <n v="1"/>
    <n v="4"/>
    <n v="99"/>
    <n v="3"/>
    <n v="1"/>
    <n v="3"/>
    <n v="2279"/>
    <n v="11781"/>
    <n v="1"/>
    <n v="16"/>
    <n v="3"/>
    <n v="4"/>
    <n v="80"/>
    <n v="0"/>
    <n v="7"/>
    <n v="2"/>
    <n v="7"/>
    <n v="7"/>
    <n v="0"/>
    <n v="3"/>
  </r>
  <r>
    <s v="Yes"/>
    <s v="Travel_Rarely"/>
    <x v="0"/>
    <s v="Ex-Employees"/>
    <x v="1"/>
    <x v="0"/>
    <x v="192"/>
    <x v="192"/>
    <x v="1"/>
    <x v="3"/>
    <x v="1"/>
    <s v="Yes"/>
    <s v="Y"/>
    <n v="1"/>
    <n v="-2"/>
    <n v="0"/>
    <x v="10"/>
    <x v="0"/>
    <n v="1"/>
    <n v="1"/>
    <n v="0"/>
    <n v="556"/>
    <n v="23"/>
    <x v="0"/>
    <n v="1"/>
    <n v="2"/>
    <n v="50"/>
    <n v="2"/>
    <n v="2"/>
    <n v="2"/>
    <n v="5916"/>
    <n v="15497"/>
    <n v="3"/>
    <n v="13"/>
    <n v="3"/>
    <n v="1"/>
    <n v="80"/>
    <n v="0"/>
    <n v="8"/>
    <n v="3"/>
    <n v="1"/>
    <n v="0"/>
    <n v="0"/>
    <n v="1"/>
  </r>
  <r>
    <s v="No"/>
    <s v="Non-Travel"/>
    <x v="0"/>
    <s v="Current Employees"/>
    <x v="1"/>
    <x v="2"/>
    <x v="193"/>
    <x v="193"/>
    <x v="1"/>
    <x v="1"/>
    <x v="2"/>
    <s v="No"/>
    <s v="Y"/>
    <n v="3"/>
    <n v="-2"/>
    <n v="0"/>
    <x v="23"/>
    <x v="1"/>
    <m/>
    <n v="0"/>
    <n v="1"/>
    <n v="1344"/>
    <n v="7"/>
    <x v="3"/>
    <n v="1"/>
    <n v="4"/>
    <n v="37"/>
    <n v="4"/>
    <n v="1"/>
    <n v="4"/>
    <n v="2089"/>
    <n v="5228"/>
    <n v="4"/>
    <n v="14"/>
    <n v="3"/>
    <n v="4"/>
    <n v="80"/>
    <n v="3"/>
    <n v="7"/>
    <n v="4"/>
    <n v="5"/>
    <n v="4"/>
    <n v="2"/>
    <n v="2"/>
  </r>
  <r>
    <s v="No"/>
    <s v="Non-Travel"/>
    <x v="1"/>
    <s v="Current Employees"/>
    <x v="1"/>
    <x v="2"/>
    <x v="194"/>
    <x v="194"/>
    <x v="1"/>
    <x v="5"/>
    <x v="1"/>
    <s v="No"/>
    <s v="Y"/>
    <n v="1"/>
    <n v="-2"/>
    <n v="0"/>
    <x v="28"/>
    <x v="1"/>
    <m/>
    <n v="0"/>
    <n v="1"/>
    <n v="1195"/>
    <n v="2"/>
    <x v="0"/>
    <n v="1"/>
    <n v="1"/>
    <n v="65"/>
    <n v="2"/>
    <n v="4"/>
    <n v="4"/>
    <n v="16792"/>
    <n v="20462"/>
    <n v="9"/>
    <n v="23"/>
    <n v="4"/>
    <n v="4"/>
    <n v="80"/>
    <n v="1"/>
    <n v="22"/>
    <n v="3"/>
    <n v="20"/>
    <n v="8"/>
    <n v="11"/>
    <n v="8"/>
  </r>
  <r>
    <s v="No"/>
    <s v="Travel_Rarely"/>
    <x v="0"/>
    <s v="Current Employees"/>
    <x v="1"/>
    <x v="0"/>
    <x v="195"/>
    <x v="195"/>
    <x v="1"/>
    <x v="1"/>
    <x v="1"/>
    <s v="Yes"/>
    <s v="Y"/>
    <n v="3"/>
    <n v="-2"/>
    <n v="0"/>
    <x v="2"/>
    <x v="1"/>
    <m/>
    <n v="0"/>
    <n v="1"/>
    <n v="290"/>
    <n v="21"/>
    <x v="3"/>
    <n v="1"/>
    <n v="2"/>
    <n v="65"/>
    <n v="4"/>
    <n v="1"/>
    <n v="2"/>
    <n v="3564"/>
    <n v="22977"/>
    <n v="1"/>
    <n v="12"/>
    <n v="3"/>
    <n v="1"/>
    <n v="80"/>
    <n v="1"/>
    <n v="8"/>
    <n v="2"/>
    <n v="8"/>
    <n v="7"/>
    <n v="1"/>
    <n v="7"/>
  </r>
  <r>
    <s v="No"/>
    <s v="Travel_Frequently"/>
    <x v="0"/>
    <s v="Current Employees"/>
    <x v="1"/>
    <x v="2"/>
    <x v="196"/>
    <x v="196"/>
    <x v="0"/>
    <x v="2"/>
    <x v="0"/>
    <s v="No"/>
    <s v="Y"/>
    <n v="5"/>
    <n v="-2"/>
    <n v="0"/>
    <x v="10"/>
    <x v="1"/>
    <m/>
    <n v="0"/>
    <n v="1"/>
    <n v="138"/>
    <n v="2"/>
    <x v="3"/>
    <n v="1"/>
    <n v="2"/>
    <n v="37"/>
    <n v="3"/>
    <n v="2"/>
    <n v="3"/>
    <n v="4425"/>
    <n v="15986"/>
    <n v="5"/>
    <n v="11"/>
    <n v="3"/>
    <n v="4"/>
    <n v="80"/>
    <n v="0"/>
    <n v="10"/>
    <n v="3"/>
    <n v="6"/>
    <n v="2"/>
    <n v="1"/>
    <n v="2"/>
  </r>
  <r>
    <s v="No"/>
    <s v="Non-Travel"/>
    <x v="0"/>
    <s v="Current Employees"/>
    <x v="1"/>
    <x v="2"/>
    <x v="197"/>
    <x v="197"/>
    <x v="0"/>
    <x v="3"/>
    <x v="2"/>
    <s v="No"/>
    <s v="Y"/>
    <n v="5"/>
    <n v="-2"/>
    <n v="0"/>
    <x v="19"/>
    <x v="1"/>
    <m/>
    <n v="0"/>
    <n v="1"/>
    <n v="926"/>
    <n v="21"/>
    <x v="0"/>
    <n v="1"/>
    <n v="3"/>
    <n v="36"/>
    <n v="3"/>
    <n v="2"/>
    <n v="3"/>
    <n v="5265"/>
    <n v="16439"/>
    <n v="2"/>
    <n v="16"/>
    <n v="3"/>
    <n v="2"/>
    <n v="80"/>
    <n v="1"/>
    <n v="11"/>
    <n v="3"/>
    <n v="5"/>
    <n v="3"/>
    <n v="0"/>
    <n v="2"/>
  </r>
  <r>
    <s v="No"/>
    <s v="Travel_Rarely"/>
    <x v="0"/>
    <s v="Current Employees"/>
    <x v="1"/>
    <x v="0"/>
    <x v="198"/>
    <x v="198"/>
    <x v="1"/>
    <x v="3"/>
    <x v="1"/>
    <s v="No"/>
    <s v="Y"/>
    <n v="3"/>
    <n v="-2"/>
    <n v="0"/>
    <x v="8"/>
    <x v="1"/>
    <m/>
    <n v="0"/>
    <n v="1"/>
    <n v="1261"/>
    <n v="2"/>
    <x v="2"/>
    <n v="1"/>
    <n v="4"/>
    <n v="88"/>
    <n v="3"/>
    <n v="2"/>
    <n v="2"/>
    <n v="6553"/>
    <n v="7259"/>
    <n v="9"/>
    <n v="14"/>
    <n v="3"/>
    <n v="2"/>
    <n v="80"/>
    <n v="0"/>
    <n v="14"/>
    <n v="3"/>
    <n v="1"/>
    <n v="0"/>
    <n v="0"/>
    <n v="0"/>
  </r>
  <r>
    <s v="No"/>
    <s v="Travel_Rarely"/>
    <x v="0"/>
    <s v="Current Employees"/>
    <x v="1"/>
    <x v="4"/>
    <x v="199"/>
    <x v="199"/>
    <x v="1"/>
    <x v="3"/>
    <x v="1"/>
    <s v="No"/>
    <s v="Y"/>
    <n v="3"/>
    <n v="-2"/>
    <n v="0"/>
    <x v="8"/>
    <x v="1"/>
    <m/>
    <n v="0"/>
    <n v="1"/>
    <n v="1084"/>
    <n v="29"/>
    <x v="3"/>
    <n v="1"/>
    <n v="4"/>
    <n v="54"/>
    <n v="3"/>
    <n v="2"/>
    <n v="4"/>
    <n v="6261"/>
    <n v="4185"/>
    <n v="3"/>
    <n v="18"/>
    <n v="3"/>
    <n v="1"/>
    <n v="80"/>
    <n v="1"/>
    <n v="9"/>
    <n v="1"/>
    <n v="7"/>
    <n v="7"/>
    <n v="1"/>
    <n v="7"/>
  </r>
  <r>
    <s v="No"/>
    <s v="Travel_Frequently"/>
    <x v="2"/>
    <s v="Current Employees"/>
    <x v="1"/>
    <x v="4"/>
    <x v="200"/>
    <x v="200"/>
    <x v="1"/>
    <x v="3"/>
    <x v="1"/>
    <s v="No"/>
    <s v="Y"/>
    <n v="1"/>
    <n v="-2"/>
    <n v="0"/>
    <x v="4"/>
    <x v="1"/>
    <m/>
    <n v="0"/>
    <n v="1"/>
    <n v="472"/>
    <n v="1"/>
    <x v="1"/>
    <n v="1"/>
    <n v="3"/>
    <n v="60"/>
    <n v="2"/>
    <n v="2"/>
    <n v="4"/>
    <n v="4298"/>
    <n v="9679"/>
    <n v="5"/>
    <n v="19"/>
    <n v="3"/>
    <n v="3"/>
    <n v="80"/>
    <n v="1"/>
    <n v="6"/>
    <n v="3"/>
    <n v="2"/>
    <n v="2"/>
    <n v="2"/>
    <n v="0"/>
  </r>
  <r>
    <s v="No"/>
    <s v="Non-Travel"/>
    <x v="1"/>
    <s v="Current Employees"/>
    <x v="1"/>
    <x v="0"/>
    <x v="201"/>
    <x v="201"/>
    <x v="1"/>
    <x v="3"/>
    <x v="2"/>
    <s v="Yes"/>
    <s v="Y"/>
    <n v="0"/>
    <n v="-2"/>
    <n v="0"/>
    <x v="1"/>
    <x v="1"/>
    <m/>
    <n v="0"/>
    <n v="1"/>
    <n v="1002"/>
    <n v="18"/>
    <x v="2"/>
    <n v="1"/>
    <n v="4"/>
    <n v="92"/>
    <n v="3"/>
    <n v="2"/>
    <n v="2"/>
    <n v="6804"/>
    <n v="23793"/>
    <n v="1"/>
    <n v="15"/>
    <n v="3"/>
    <n v="1"/>
    <n v="80"/>
    <n v="2"/>
    <n v="7"/>
    <n v="3"/>
    <n v="7"/>
    <n v="7"/>
    <n v="1"/>
    <n v="7"/>
  </r>
  <r>
    <s v="No"/>
    <s v="Travel_Frequently"/>
    <x v="2"/>
    <s v="Current Employees"/>
    <x v="1"/>
    <x v="2"/>
    <x v="202"/>
    <x v="202"/>
    <x v="1"/>
    <x v="1"/>
    <x v="2"/>
    <s v="Yes"/>
    <s v="Y"/>
    <n v="4"/>
    <n v="-2"/>
    <n v="0"/>
    <x v="13"/>
    <x v="1"/>
    <m/>
    <n v="0"/>
    <n v="1"/>
    <n v="878"/>
    <n v="10"/>
    <x v="2"/>
    <n v="1"/>
    <n v="4"/>
    <n v="43"/>
    <n v="3"/>
    <n v="1"/>
    <n v="3"/>
    <n v="3815"/>
    <n v="5972"/>
    <n v="1"/>
    <n v="17"/>
    <n v="3"/>
    <n v="4"/>
    <n v="80"/>
    <n v="1"/>
    <n v="5"/>
    <n v="4"/>
    <n v="5"/>
    <n v="3"/>
    <n v="2"/>
    <n v="0"/>
  </r>
  <r>
    <s v="No"/>
    <s v="Travel_Rarely"/>
    <x v="0"/>
    <s v="Current Employees"/>
    <x v="1"/>
    <x v="2"/>
    <x v="203"/>
    <x v="203"/>
    <x v="1"/>
    <x v="2"/>
    <x v="1"/>
    <s v="Yes"/>
    <s v="Y"/>
    <n v="2"/>
    <n v="-2"/>
    <n v="0"/>
    <x v="32"/>
    <x v="1"/>
    <m/>
    <n v="0"/>
    <n v="1"/>
    <n v="905"/>
    <n v="19"/>
    <x v="0"/>
    <n v="1"/>
    <n v="3"/>
    <n v="99"/>
    <n v="3"/>
    <n v="2"/>
    <n v="4"/>
    <n v="2741"/>
    <n v="16523"/>
    <n v="8"/>
    <n v="15"/>
    <n v="3"/>
    <n v="3"/>
    <n v="80"/>
    <n v="1"/>
    <n v="15"/>
    <n v="4"/>
    <n v="7"/>
    <n v="2"/>
    <n v="3"/>
    <n v="7"/>
  </r>
  <r>
    <s v="Yes"/>
    <s v="Travel_Rarely"/>
    <x v="0"/>
    <s v="Ex-Employees"/>
    <x v="1"/>
    <x v="2"/>
    <x v="204"/>
    <x v="204"/>
    <x v="1"/>
    <x v="4"/>
    <x v="1"/>
    <s v="Yes"/>
    <s v="Y"/>
    <n v="2"/>
    <n v="-2"/>
    <n v="0"/>
    <x v="8"/>
    <x v="0"/>
    <n v="1"/>
    <n v="1"/>
    <n v="0"/>
    <n v="1180"/>
    <n v="29"/>
    <x v="1"/>
    <n v="1"/>
    <n v="2"/>
    <n v="70"/>
    <n v="3"/>
    <n v="2"/>
    <n v="3"/>
    <n v="6673"/>
    <n v="11354"/>
    <n v="7"/>
    <n v="19"/>
    <n v="3"/>
    <n v="2"/>
    <n v="80"/>
    <n v="0"/>
    <n v="17"/>
    <n v="3"/>
    <n v="1"/>
    <n v="0"/>
    <n v="0"/>
    <n v="0"/>
  </r>
  <r>
    <s v="Yes"/>
    <s v="Travel_Rarely"/>
    <x v="2"/>
    <s v="Ex-Employees"/>
    <x v="0"/>
    <x v="3"/>
    <x v="205"/>
    <x v="205"/>
    <x v="0"/>
    <x v="0"/>
    <x v="1"/>
    <s v="No"/>
    <s v="Y"/>
    <n v="3"/>
    <n v="-2"/>
    <n v="0"/>
    <x v="11"/>
    <x v="0"/>
    <n v="1"/>
    <n v="1"/>
    <n v="0"/>
    <n v="121"/>
    <n v="27"/>
    <x v="3"/>
    <n v="1"/>
    <n v="2"/>
    <n v="35"/>
    <n v="3"/>
    <n v="3"/>
    <n v="4"/>
    <n v="7639"/>
    <n v="24525"/>
    <n v="1"/>
    <n v="22"/>
    <n v="4"/>
    <n v="4"/>
    <n v="80"/>
    <n v="3"/>
    <n v="10"/>
    <n v="2"/>
    <n v="10"/>
    <n v="4"/>
    <n v="1"/>
    <n v="9"/>
  </r>
  <r>
    <s v="No"/>
    <s v="Travel_Rarely"/>
    <x v="4"/>
    <s v="Current Employees"/>
    <x v="1"/>
    <x v="0"/>
    <x v="206"/>
    <x v="206"/>
    <x v="1"/>
    <x v="1"/>
    <x v="2"/>
    <s v="Yes"/>
    <s v="Y"/>
    <n v="2"/>
    <n v="-2"/>
    <n v="0"/>
    <x v="15"/>
    <x v="1"/>
    <m/>
    <n v="0"/>
    <n v="1"/>
    <n v="1136"/>
    <n v="5"/>
    <x v="3"/>
    <n v="1"/>
    <n v="4"/>
    <n v="60"/>
    <n v="4"/>
    <n v="1"/>
    <n v="2"/>
    <n v="2328"/>
    <n v="12392"/>
    <n v="1"/>
    <n v="16"/>
    <n v="3"/>
    <n v="1"/>
    <n v="80"/>
    <n v="1"/>
    <n v="4"/>
    <n v="2"/>
    <n v="4"/>
    <n v="2"/>
    <n v="2"/>
    <n v="2"/>
  </r>
  <r>
    <s v="No"/>
    <s v="Travel_Frequently"/>
    <x v="0"/>
    <s v="Current Employees"/>
    <x v="1"/>
    <x v="2"/>
    <x v="207"/>
    <x v="207"/>
    <x v="0"/>
    <x v="2"/>
    <x v="0"/>
    <s v="No"/>
    <s v="Y"/>
    <n v="2"/>
    <n v="-2"/>
    <n v="0"/>
    <x v="9"/>
    <x v="1"/>
    <m/>
    <n v="0"/>
    <n v="1"/>
    <n v="635"/>
    <n v="18"/>
    <x v="1"/>
    <n v="1"/>
    <n v="2"/>
    <n v="73"/>
    <n v="3"/>
    <n v="1"/>
    <n v="4"/>
    <n v="2153"/>
    <n v="7703"/>
    <n v="1"/>
    <n v="13"/>
    <n v="3"/>
    <n v="1"/>
    <n v="80"/>
    <n v="0"/>
    <n v="8"/>
    <n v="3"/>
    <n v="8"/>
    <n v="1"/>
    <n v="1"/>
    <n v="7"/>
  </r>
  <r>
    <s v="No"/>
    <s v="Non-Travel"/>
    <x v="0"/>
    <s v="Current Employees"/>
    <x v="1"/>
    <x v="0"/>
    <x v="208"/>
    <x v="208"/>
    <x v="1"/>
    <x v="4"/>
    <x v="1"/>
    <s v="No"/>
    <s v="Y"/>
    <n v="5"/>
    <n v="-2"/>
    <n v="0"/>
    <x v="32"/>
    <x v="1"/>
    <m/>
    <n v="0"/>
    <n v="1"/>
    <n v="1151"/>
    <n v="9"/>
    <x v="4"/>
    <n v="1"/>
    <n v="4"/>
    <n v="63"/>
    <n v="2"/>
    <n v="2"/>
    <n v="2"/>
    <n v="4876"/>
    <n v="14242"/>
    <n v="9"/>
    <n v="14"/>
    <n v="3"/>
    <n v="4"/>
    <n v="80"/>
    <n v="1"/>
    <n v="5"/>
    <n v="1"/>
    <n v="3"/>
    <n v="2"/>
    <n v="0"/>
    <n v="2"/>
  </r>
  <r>
    <s v="No"/>
    <s v="Travel_Rarely"/>
    <x v="1"/>
    <s v="Current Employees"/>
    <x v="1"/>
    <x v="2"/>
    <x v="209"/>
    <x v="209"/>
    <x v="1"/>
    <x v="4"/>
    <x v="2"/>
    <s v="No"/>
    <s v="Y"/>
    <n v="3"/>
    <n v="-2"/>
    <n v="0"/>
    <x v="21"/>
    <x v="1"/>
    <m/>
    <n v="0"/>
    <n v="1"/>
    <n v="644"/>
    <n v="1"/>
    <x v="2"/>
    <n v="1"/>
    <n v="4"/>
    <n v="97"/>
    <n v="3"/>
    <n v="3"/>
    <n v="3"/>
    <n v="9396"/>
    <n v="12368"/>
    <n v="7"/>
    <n v="16"/>
    <n v="3"/>
    <n v="3"/>
    <n v="80"/>
    <n v="1"/>
    <n v="17"/>
    <n v="3"/>
    <n v="4"/>
    <n v="2"/>
    <n v="0"/>
    <n v="3"/>
  </r>
  <r>
    <s v="Yes"/>
    <s v="Travel_Rarely"/>
    <x v="2"/>
    <s v="Ex-Employees"/>
    <x v="0"/>
    <x v="2"/>
    <x v="210"/>
    <x v="210"/>
    <x v="1"/>
    <x v="0"/>
    <x v="1"/>
    <s v="No"/>
    <s v="Y"/>
    <n v="2"/>
    <n v="-2"/>
    <n v="0"/>
    <x v="5"/>
    <x v="0"/>
    <n v="1"/>
    <n v="1"/>
    <n v="0"/>
    <n v="1045"/>
    <n v="4"/>
    <x v="2"/>
    <n v="1"/>
    <n v="4"/>
    <n v="32"/>
    <n v="1"/>
    <n v="3"/>
    <n v="4"/>
    <n v="10400"/>
    <n v="25812"/>
    <n v="1"/>
    <n v="11"/>
    <n v="3"/>
    <n v="3"/>
    <n v="80"/>
    <n v="0"/>
    <n v="14"/>
    <n v="2"/>
    <n v="14"/>
    <n v="8"/>
    <n v="9"/>
    <n v="8"/>
  </r>
  <r>
    <s v="No"/>
    <s v="Non-Travel"/>
    <x v="2"/>
    <s v="Current Employees"/>
    <x v="1"/>
    <x v="0"/>
    <x v="211"/>
    <x v="211"/>
    <x v="1"/>
    <x v="3"/>
    <x v="0"/>
    <s v="No"/>
    <s v="Y"/>
    <n v="2"/>
    <n v="-2"/>
    <n v="0"/>
    <x v="7"/>
    <x v="1"/>
    <m/>
    <n v="0"/>
    <n v="1"/>
    <n v="829"/>
    <n v="1"/>
    <x v="1"/>
    <n v="1"/>
    <n v="3"/>
    <n v="88"/>
    <n v="2"/>
    <n v="3"/>
    <n v="2"/>
    <n v="8474"/>
    <n v="20925"/>
    <n v="1"/>
    <n v="22"/>
    <n v="4"/>
    <n v="3"/>
    <n v="80"/>
    <n v="0"/>
    <n v="12"/>
    <n v="3"/>
    <n v="11"/>
    <n v="8"/>
    <n v="5"/>
    <n v="8"/>
  </r>
  <r>
    <s v="No"/>
    <s v="Travel_Frequently"/>
    <x v="2"/>
    <s v="Current Employees"/>
    <x v="0"/>
    <x v="0"/>
    <x v="212"/>
    <x v="212"/>
    <x v="0"/>
    <x v="0"/>
    <x v="0"/>
    <s v="No"/>
    <s v="Y"/>
    <n v="2"/>
    <n v="-2"/>
    <n v="0"/>
    <x v="4"/>
    <x v="1"/>
    <m/>
    <n v="0"/>
    <n v="1"/>
    <n v="1242"/>
    <n v="20"/>
    <x v="3"/>
    <n v="1"/>
    <n v="4"/>
    <n v="90"/>
    <n v="3"/>
    <n v="2"/>
    <n v="2"/>
    <n v="9981"/>
    <n v="12916"/>
    <n v="1"/>
    <n v="14"/>
    <n v="3"/>
    <n v="4"/>
    <n v="80"/>
    <n v="0"/>
    <n v="7"/>
    <n v="3"/>
    <n v="7"/>
    <n v="7"/>
    <n v="0"/>
    <n v="7"/>
  </r>
  <r>
    <s v="No"/>
    <s v="Travel_Rarely"/>
    <x v="1"/>
    <s v="Current Employees"/>
    <x v="1"/>
    <x v="0"/>
    <x v="213"/>
    <x v="213"/>
    <x v="1"/>
    <x v="7"/>
    <x v="1"/>
    <s v="No"/>
    <s v="Y"/>
    <n v="5"/>
    <n v="-2"/>
    <n v="0"/>
    <x v="31"/>
    <x v="1"/>
    <m/>
    <n v="0"/>
    <n v="1"/>
    <n v="1469"/>
    <n v="8"/>
    <x v="2"/>
    <n v="1"/>
    <n v="2"/>
    <n v="81"/>
    <n v="2"/>
    <n v="3"/>
    <n v="2"/>
    <n v="12490"/>
    <n v="15736"/>
    <n v="5"/>
    <n v="16"/>
    <n v="3"/>
    <n v="4"/>
    <n v="80"/>
    <n v="2"/>
    <n v="16"/>
    <n v="1"/>
    <n v="10"/>
    <n v="9"/>
    <n v="4"/>
    <n v="7"/>
  </r>
  <r>
    <s v="Yes"/>
    <s v="Travel_Rarely"/>
    <x v="2"/>
    <s v="Ex-Employees"/>
    <x v="1"/>
    <x v="4"/>
    <x v="214"/>
    <x v="214"/>
    <x v="0"/>
    <x v="1"/>
    <x v="0"/>
    <s v="Yes"/>
    <s v="Y"/>
    <n v="5"/>
    <n v="-2"/>
    <n v="0"/>
    <x v="7"/>
    <x v="0"/>
    <n v="1"/>
    <n v="1"/>
    <n v="0"/>
    <n v="1005"/>
    <n v="3"/>
    <x v="3"/>
    <n v="1"/>
    <n v="4"/>
    <n v="88"/>
    <n v="3"/>
    <n v="1"/>
    <n v="4"/>
    <n v="2657"/>
    <n v="8556"/>
    <n v="5"/>
    <n v="11"/>
    <n v="3"/>
    <n v="3"/>
    <n v="80"/>
    <n v="0"/>
    <n v="8"/>
    <n v="3"/>
    <n v="5"/>
    <n v="2"/>
    <n v="0"/>
    <n v="4"/>
  </r>
  <r>
    <s v="No"/>
    <s v="Travel_Rarely"/>
    <x v="0"/>
    <s v="Current Employees"/>
    <x v="0"/>
    <x v="0"/>
    <x v="215"/>
    <x v="215"/>
    <x v="0"/>
    <x v="5"/>
    <x v="0"/>
    <s v="Yes"/>
    <s v="Y"/>
    <n v="3"/>
    <n v="-2"/>
    <n v="0"/>
    <x v="0"/>
    <x v="1"/>
    <m/>
    <n v="0"/>
    <n v="1"/>
    <n v="896"/>
    <n v="6"/>
    <x v="3"/>
    <n v="1"/>
    <n v="4"/>
    <n v="75"/>
    <n v="3"/>
    <n v="3"/>
    <n v="2"/>
    <n v="13591"/>
    <n v="14674"/>
    <n v="3"/>
    <n v="18"/>
    <n v="3"/>
    <n v="3"/>
    <n v="80"/>
    <n v="0"/>
    <n v="16"/>
    <n v="3"/>
    <n v="1"/>
    <n v="0"/>
    <n v="0"/>
    <n v="0"/>
  </r>
  <r>
    <s v="Yes"/>
    <s v="Travel_Frequently"/>
    <x v="2"/>
    <s v="Ex-Employees"/>
    <x v="0"/>
    <x v="3"/>
    <x v="216"/>
    <x v="216"/>
    <x v="0"/>
    <x v="0"/>
    <x v="0"/>
    <s v="No"/>
    <s v="Y"/>
    <n v="5"/>
    <n v="-2"/>
    <n v="0"/>
    <x v="7"/>
    <x v="0"/>
    <n v="1"/>
    <n v="1"/>
    <n v="0"/>
    <n v="334"/>
    <n v="26"/>
    <x v="2"/>
    <n v="1"/>
    <n v="3"/>
    <n v="52"/>
    <n v="2"/>
    <n v="2"/>
    <n v="3"/>
    <n v="6696"/>
    <n v="22967"/>
    <n v="5"/>
    <n v="15"/>
    <n v="3"/>
    <n v="3"/>
    <n v="80"/>
    <n v="0"/>
    <n v="9"/>
    <n v="2"/>
    <n v="6"/>
    <n v="3"/>
    <n v="0"/>
    <n v="1"/>
  </r>
  <r>
    <s v="Yes"/>
    <s v="Travel_Rarely"/>
    <x v="2"/>
    <s v="Ex-Employees"/>
    <x v="1"/>
    <x v="4"/>
    <x v="217"/>
    <x v="217"/>
    <x v="1"/>
    <x v="1"/>
    <x v="0"/>
    <s v="No"/>
    <s v="Y"/>
    <n v="1"/>
    <n v="-2"/>
    <n v="0"/>
    <x v="11"/>
    <x v="0"/>
    <n v="1"/>
    <n v="1"/>
    <n v="0"/>
    <n v="992"/>
    <n v="1"/>
    <x v="3"/>
    <n v="1"/>
    <n v="3"/>
    <n v="85"/>
    <n v="3"/>
    <n v="1"/>
    <n v="4"/>
    <n v="2058"/>
    <n v="19757"/>
    <n v="0"/>
    <n v="14"/>
    <n v="3"/>
    <n v="4"/>
    <n v="80"/>
    <n v="0"/>
    <n v="7"/>
    <n v="2"/>
    <n v="6"/>
    <n v="2"/>
    <n v="1"/>
    <n v="5"/>
  </r>
  <r>
    <s v="No"/>
    <s v="Non-Travel"/>
    <x v="1"/>
    <s v="Current Employees"/>
    <x v="0"/>
    <x v="2"/>
    <x v="218"/>
    <x v="218"/>
    <x v="0"/>
    <x v="0"/>
    <x v="0"/>
    <s v="No"/>
    <s v="Y"/>
    <n v="2"/>
    <n v="-2"/>
    <n v="0"/>
    <x v="28"/>
    <x v="1"/>
    <m/>
    <n v="0"/>
    <n v="1"/>
    <n v="1052"/>
    <n v="6"/>
    <x v="3"/>
    <n v="1"/>
    <n v="4"/>
    <n v="57"/>
    <n v="2"/>
    <n v="3"/>
    <n v="4"/>
    <n v="8865"/>
    <n v="16840"/>
    <n v="6"/>
    <n v="12"/>
    <n v="3"/>
    <n v="4"/>
    <n v="80"/>
    <n v="0"/>
    <n v="23"/>
    <n v="3"/>
    <n v="19"/>
    <n v="7"/>
    <n v="12"/>
    <n v="8"/>
  </r>
  <r>
    <s v="No"/>
    <s v="Travel_Rarely"/>
    <x v="1"/>
    <s v="Current Employees"/>
    <x v="0"/>
    <x v="3"/>
    <x v="219"/>
    <x v="219"/>
    <x v="0"/>
    <x v="0"/>
    <x v="1"/>
    <s v="No"/>
    <s v="Y"/>
    <n v="4"/>
    <n v="-2"/>
    <n v="0"/>
    <x v="33"/>
    <x v="1"/>
    <m/>
    <n v="0"/>
    <n v="1"/>
    <n v="1147"/>
    <n v="3"/>
    <x v="3"/>
    <n v="1"/>
    <n v="4"/>
    <n v="52"/>
    <n v="3"/>
    <n v="2"/>
    <n v="1"/>
    <n v="5940"/>
    <n v="17011"/>
    <n v="2"/>
    <n v="14"/>
    <n v="3"/>
    <n v="4"/>
    <n v="80"/>
    <n v="1"/>
    <n v="16"/>
    <n v="3"/>
    <n v="6"/>
    <n v="2"/>
    <n v="0"/>
    <n v="5"/>
  </r>
  <r>
    <s v="No"/>
    <s v="Travel_Rarely"/>
    <x v="0"/>
    <s v="Current Employees"/>
    <x v="1"/>
    <x v="0"/>
    <x v="220"/>
    <x v="220"/>
    <x v="1"/>
    <x v="2"/>
    <x v="0"/>
    <s v="No"/>
    <s v="Y"/>
    <n v="3"/>
    <n v="-2"/>
    <n v="0"/>
    <x v="9"/>
    <x v="1"/>
    <m/>
    <n v="0"/>
    <n v="1"/>
    <n v="1396"/>
    <n v="5"/>
    <x v="0"/>
    <n v="1"/>
    <n v="4"/>
    <n v="62"/>
    <n v="3"/>
    <n v="2"/>
    <n v="2"/>
    <n v="5914"/>
    <n v="9945"/>
    <n v="8"/>
    <n v="16"/>
    <n v="3"/>
    <n v="4"/>
    <n v="80"/>
    <n v="0"/>
    <n v="16"/>
    <n v="4"/>
    <n v="13"/>
    <n v="11"/>
    <n v="3"/>
    <n v="7"/>
  </r>
  <r>
    <s v="No"/>
    <s v="Travel_Rarely"/>
    <x v="2"/>
    <s v="Current Employees"/>
    <x v="1"/>
    <x v="2"/>
    <x v="221"/>
    <x v="221"/>
    <x v="0"/>
    <x v="1"/>
    <x v="1"/>
    <s v="No"/>
    <s v="Y"/>
    <n v="3"/>
    <n v="-2"/>
    <n v="0"/>
    <x v="3"/>
    <x v="1"/>
    <m/>
    <n v="0"/>
    <n v="1"/>
    <n v="147"/>
    <n v="4"/>
    <x v="2"/>
    <n v="1"/>
    <n v="3"/>
    <n v="47"/>
    <n v="2"/>
    <n v="1"/>
    <n v="3"/>
    <n v="2622"/>
    <n v="13248"/>
    <n v="6"/>
    <n v="21"/>
    <n v="4"/>
    <n v="4"/>
    <n v="80"/>
    <n v="0"/>
    <n v="7"/>
    <n v="3"/>
    <n v="3"/>
    <n v="2"/>
    <n v="1"/>
    <n v="1"/>
  </r>
  <r>
    <s v="No"/>
    <s v="Travel_Frequently"/>
    <x v="0"/>
    <s v="Current Employees"/>
    <x v="1"/>
    <x v="1"/>
    <x v="222"/>
    <x v="222"/>
    <x v="1"/>
    <x v="7"/>
    <x v="2"/>
    <s v="Yes"/>
    <s v="Y"/>
    <n v="1"/>
    <n v="-2"/>
    <n v="0"/>
    <x v="2"/>
    <x v="1"/>
    <m/>
    <n v="0"/>
    <n v="1"/>
    <n v="663"/>
    <n v="11"/>
    <x v="3"/>
    <n v="1"/>
    <n v="2"/>
    <n v="47"/>
    <n v="3"/>
    <n v="3"/>
    <n v="4"/>
    <n v="12185"/>
    <n v="10056"/>
    <n v="1"/>
    <n v="14"/>
    <n v="3"/>
    <n v="3"/>
    <n v="80"/>
    <n v="3"/>
    <n v="10"/>
    <n v="3"/>
    <n v="10"/>
    <n v="8"/>
    <n v="0"/>
    <n v="7"/>
  </r>
  <r>
    <s v="No"/>
    <s v="Travel_Rarely"/>
    <x v="0"/>
    <s v="Current Employees"/>
    <x v="0"/>
    <x v="0"/>
    <x v="223"/>
    <x v="223"/>
    <x v="1"/>
    <x v="0"/>
    <x v="2"/>
    <s v="No"/>
    <s v="Y"/>
    <n v="6"/>
    <n v="-2"/>
    <n v="0"/>
    <x v="8"/>
    <x v="1"/>
    <m/>
    <n v="0"/>
    <n v="1"/>
    <n v="119"/>
    <n v="3"/>
    <x v="3"/>
    <n v="1"/>
    <n v="1"/>
    <n v="76"/>
    <n v="3"/>
    <n v="3"/>
    <n v="2"/>
    <n v="10609"/>
    <n v="9647"/>
    <n v="0"/>
    <n v="12"/>
    <n v="3"/>
    <n v="3"/>
    <n v="80"/>
    <n v="2"/>
    <n v="17"/>
    <n v="2"/>
    <n v="16"/>
    <n v="10"/>
    <n v="5"/>
    <n v="13"/>
  </r>
  <r>
    <s v="No"/>
    <s v="Non-Travel"/>
    <x v="2"/>
    <s v="Current Employees"/>
    <x v="1"/>
    <x v="2"/>
    <x v="224"/>
    <x v="224"/>
    <x v="1"/>
    <x v="3"/>
    <x v="1"/>
    <s v="No"/>
    <s v="Y"/>
    <n v="2"/>
    <n v="-2"/>
    <n v="0"/>
    <x v="12"/>
    <x v="1"/>
    <m/>
    <n v="0"/>
    <n v="1"/>
    <n v="979"/>
    <n v="1"/>
    <x v="2"/>
    <n v="1"/>
    <n v="3"/>
    <n v="90"/>
    <n v="1"/>
    <n v="2"/>
    <n v="3"/>
    <n v="4345"/>
    <n v="4381"/>
    <n v="0"/>
    <n v="12"/>
    <n v="3"/>
    <n v="4"/>
    <n v="80"/>
    <n v="1"/>
    <n v="6"/>
    <n v="3"/>
    <n v="5"/>
    <n v="4"/>
    <n v="1"/>
    <n v="4"/>
  </r>
  <r>
    <s v="No"/>
    <s v="Travel_Rarely"/>
    <x v="3"/>
    <s v="Current Employees"/>
    <x v="1"/>
    <x v="0"/>
    <x v="225"/>
    <x v="225"/>
    <x v="1"/>
    <x v="1"/>
    <x v="1"/>
    <s v="No"/>
    <s v="Y"/>
    <n v="6"/>
    <n v="-2"/>
    <n v="0"/>
    <x v="6"/>
    <x v="1"/>
    <m/>
    <n v="0"/>
    <n v="1"/>
    <n v="142"/>
    <n v="3"/>
    <x v="3"/>
    <n v="1"/>
    <n v="3"/>
    <n v="70"/>
    <n v="2"/>
    <n v="1"/>
    <n v="2"/>
    <n v="2177"/>
    <n v="8456"/>
    <n v="3"/>
    <n v="17"/>
    <n v="3"/>
    <n v="1"/>
    <n v="80"/>
    <n v="1"/>
    <n v="7"/>
    <n v="3"/>
    <n v="1"/>
    <n v="0"/>
    <n v="0"/>
    <n v="0"/>
  </r>
  <r>
    <s v="No"/>
    <s v="Travel_Frequently"/>
    <x v="0"/>
    <s v="Current Employees"/>
    <x v="0"/>
    <x v="3"/>
    <x v="226"/>
    <x v="226"/>
    <x v="1"/>
    <x v="6"/>
    <x v="2"/>
    <s v="No"/>
    <s v="Y"/>
    <n v="2"/>
    <n v="-2"/>
    <n v="0"/>
    <x v="2"/>
    <x v="1"/>
    <m/>
    <n v="0"/>
    <n v="1"/>
    <n v="319"/>
    <n v="4"/>
    <x v="2"/>
    <n v="1"/>
    <n v="1"/>
    <n v="41"/>
    <n v="3"/>
    <n v="1"/>
    <n v="1"/>
    <n v="2793"/>
    <n v="2539"/>
    <n v="4"/>
    <n v="17"/>
    <n v="3"/>
    <n v="3"/>
    <n v="80"/>
    <n v="1"/>
    <n v="13"/>
    <n v="3"/>
    <n v="9"/>
    <n v="8"/>
    <n v="5"/>
    <n v="8"/>
  </r>
  <r>
    <s v="No"/>
    <s v="Travel_Frequently"/>
    <x v="2"/>
    <s v="Current Employees"/>
    <x v="0"/>
    <x v="2"/>
    <x v="227"/>
    <x v="227"/>
    <x v="0"/>
    <x v="0"/>
    <x v="1"/>
    <s v="No"/>
    <s v="Y"/>
    <n v="5"/>
    <n v="-2"/>
    <n v="0"/>
    <x v="11"/>
    <x v="1"/>
    <m/>
    <n v="0"/>
    <n v="1"/>
    <n v="1413"/>
    <n v="1"/>
    <x v="1"/>
    <n v="1"/>
    <n v="2"/>
    <n v="42"/>
    <n v="3"/>
    <n v="3"/>
    <n v="4"/>
    <n v="7918"/>
    <n v="6599"/>
    <n v="1"/>
    <n v="14"/>
    <n v="3"/>
    <n v="4"/>
    <n v="80"/>
    <n v="1"/>
    <n v="11"/>
    <n v="3"/>
    <n v="11"/>
    <n v="10"/>
    <n v="4"/>
    <n v="1"/>
  </r>
  <r>
    <s v="No"/>
    <s v="Travel_Frequently"/>
    <x v="0"/>
    <s v="Current Employees"/>
    <x v="0"/>
    <x v="3"/>
    <x v="228"/>
    <x v="228"/>
    <x v="0"/>
    <x v="0"/>
    <x v="0"/>
    <s v="No"/>
    <s v="Y"/>
    <n v="3"/>
    <n v="-2"/>
    <n v="0"/>
    <x v="10"/>
    <x v="1"/>
    <m/>
    <n v="0"/>
    <n v="1"/>
    <n v="944"/>
    <n v="1"/>
    <x v="3"/>
    <n v="1"/>
    <n v="3"/>
    <n v="92"/>
    <n v="3"/>
    <n v="3"/>
    <n v="1"/>
    <n v="8789"/>
    <n v="9096"/>
    <n v="1"/>
    <n v="14"/>
    <n v="3"/>
    <n v="1"/>
    <n v="80"/>
    <n v="0"/>
    <n v="10"/>
    <n v="4"/>
    <n v="10"/>
    <n v="7"/>
    <n v="0"/>
    <n v="8"/>
  </r>
  <r>
    <s v="Yes"/>
    <s v="Travel_Rarely"/>
    <x v="2"/>
    <s v="Ex-Employees"/>
    <x v="1"/>
    <x v="2"/>
    <x v="229"/>
    <x v="229"/>
    <x v="1"/>
    <x v="1"/>
    <x v="0"/>
    <s v="Yes"/>
    <s v="Y"/>
    <n v="3"/>
    <n v="-2"/>
    <n v="0"/>
    <x v="11"/>
    <x v="0"/>
    <n v="1"/>
    <n v="1"/>
    <n v="0"/>
    <n v="896"/>
    <n v="18"/>
    <x v="1"/>
    <n v="1"/>
    <n v="3"/>
    <n v="86"/>
    <n v="2"/>
    <n v="1"/>
    <n v="4"/>
    <n v="2389"/>
    <n v="14961"/>
    <n v="1"/>
    <n v="13"/>
    <n v="3"/>
    <n v="3"/>
    <n v="80"/>
    <n v="0"/>
    <n v="4"/>
    <n v="2"/>
    <n v="4"/>
    <n v="3"/>
    <n v="0"/>
    <n v="1"/>
  </r>
  <r>
    <s v="No"/>
    <s v="Travel_Rarely"/>
    <x v="1"/>
    <s v="Current Employees"/>
    <x v="1"/>
    <x v="0"/>
    <x v="230"/>
    <x v="230"/>
    <x v="0"/>
    <x v="2"/>
    <x v="0"/>
    <s v="No"/>
    <s v="Y"/>
    <n v="3"/>
    <n v="-2"/>
    <n v="0"/>
    <x v="39"/>
    <x v="1"/>
    <m/>
    <n v="0"/>
    <n v="1"/>
    <n v="1323"/>
    <n v="2"/>
    <x v="3"/>
    <n v="1"/>
    <n v="3"/>
    <n v="89"/>
    <n v="2"/>
    <n v="1"/>
    <n v="2"/>
    <n v="3212"/>
    <n v="3300"/>
    <n v="7"/>
    <n v="15"/>
    <n v="3"/>
    <n v="2"/>
    <n v="80"/>
    <n v="0"/>
    <n v="6"/>
    <n v="2"/>
    <n v="2"/>
    <n v="2"/>
    <n v="2"/>
    <n v="2"/>
  </r>
  <r>
    <s v="No"/>
    <s v="Travel_Rarely"/>
    <x v="0"/>
    <s v="Current Employees"/>
    <x v="1"/>
    <x v="4"/>
    <x v="231"/>
    <x v="231"/>
    <x v="1"/>
    <x v="5"/>
    <x v="1"/>
    <s v="No"/>
    <s v="Y"/>
    <n v="3"/>
    <n v="-2"/>
    <n v="0"/>
    <x v="19"/>
    <x v="1"/>
    <m/>
    <n v="0"/>
    <n v="1"/>
    <n v="532"/>
    <n v="4"/>
    <x v="0"/>
    <n v="1"/>
    <n v="3"/>
    <n v="58"/>
    <n v="3"/>
    <n v="5"/>
    <n v="4"/>
    <n v="19232"/>
    <n v="4933"/>
    <n v="1"/>
    <n v="11"/>
    <n v="3"/>
    <n v="4"/>
    <n v="80"/>
    <n v="0"/>
    <n v="22"/>
    <n v="3"/>
    <n v="22"/>
    <n v="17"/>
    <n v="11"/>
    <n v="15"/>
  </r>
  <r>
    <s v="No"/>
    <s v="Travel_Rarely"/>
    <x v="3"/>
    <s v="Current Employees"/>
    <x v="2"/>
    <x v="2"/>
    <x v="232"/>
    <x v="232"/>
    <x v="1"/>
    <x v="8"/>
    <x v="1"/>
    <s v="No"/>
    <s v="Y"/>
    <n v="2"/>
    <n v="-2"/>
    <n v="0"/>
    <x v="6"/>
    <x v="1"/>
    <m/>
    <n v="0"/>
    <n v="1"/>
    <n v="818"/>
    <n v="6"/>
    <x v="0"/>
    <n v="1"/>
    <n v="2"/>
    <n v="52"/>
    <n v="3"/>
    <n v="1"/>
    <n v="3"/>
    <n v="2267"/>
    <n v="25657"/>
    <n v="8"/>
    <n v="17"/>
    <n v="3"/>
    <n v="4"/>
    <n v="80"/>
    <n v="0"/>
    <n v="7"/>
    <n v="2"/>
    <n v="2"/>
    <n v="2"/>
    <n v="2"/>
    <n v="2"/>
  </r>
  <r>
    <s v="No"/>
    <s v="Travel_Rarely"/>
    <x v="1"/>
    <s v="Current Employees"/>
    <x v="0"/>
    <x v="2"/>
    <x v="233"/>
    <x v="233"/>
    <x v="0"/>
    <x v="5"/>
    <x v="2"/>
    <s v="No"/>
    <s v="Y"/>
    <n v="3"/>
    <n v="-2"/>
    <n v="0"/>
    <x v="24"/>
    <x v="1"/>
    <m/>
    <n v="0"/>
    <n v="1"/>
    <n v="854"/>
    <n v="1"/>
    <x v="2"/>
    <n v="1"/>
    <n v="4"/>
    <n v="68"/>
    <n v="3"/>
    <n v="5"/>
    <n v="4"/>
    <n v="19517"/>
    <n v="24118"/>
    <n v="3"/>
    <n v="11"/>
    <n v="3"/>
    <n v="3"/>
    <n v="80"/>
    <n v="1"/>
    <n v="32"/>
    <n v="2"/>
    <n v="7"/>
    <n v="0"/>
    <n v="0"/>
    <n v="6"/>
  </r>
  <r>
    <s v="Yes"/>
    <s v="Travel_Rarely"/>
    <x v="2"/>
    <s v="Ex-Employees"/>
    <x v="1"/>
    <x v="2"/>
    <x v="234"/>
    <x v="234"/>
    <x v="1"/>
    <x v="2"/>
    <x v="1"/>
    <s v="Yes"/>
    <s v="Y"/>
    <n v="2"/>
    <n v="-2"/>
    <n v="0"/>
    <x v="3"/>
    <x v="0"/>
    <n v="1"/>
    <n v="1"/>
    <n v="0"/>
    <n v="813"/>
    <n v="14"/>
    <x v="3"/>
    <n v="1"/>
    <n v="3"/>
    <n v="58"/>
    <n v="3"/>
    <n v="1"/>
    <n v="4"/>
    <n v="2436"/>
    <n v="22149"/>
    <n v="5"/>
    <n v="13"/>
    <n v="3"/>
    <n v="3"/>
    <n v="80"/>
    <n v="1"/>
    <n v="8"/>
    <n v="1"/>
    <n v="5"/>
    <n v="4"/>
    <n v="0"/>
    <n v="4"/>
  </r>
  <r>
    <s v="No"/>
    <s v="Travel_Rarely"/>
    <x v="0"/>
    <s v="Current Employees"/>
    <x v="0"/>
    <x v="3"/>
    <x v="235"/>
    <x v="235"/>
    <x v="0"/>
    <x v="5"/>
    <x v="1"/>
    <s v="Yes"/>
    <s v="Y"/>
    <n v="3"/>
    <n v="-2"/>
    <n v="0"/>
    <x v="23"/>
    <x v="1"/>
    <m/>
    <n v="0"/>
    <n v="1"/>
    <n v="1034"/>
    <n v="16"/>
    <x v="3"/>
    <n v="1"/>
    <n v="4"/>
    <n v="80"/>
    <n v="3"/>
    <n v="4"/>
    <n v="1"/>
    <n v="16064"/>
    <n v="7744"/>
    <n v="5"/>
    <n v="22"/>
    <n v="4"/>
    <n v="3"/>
    <n v="80"/>
    <n v="1"/>
    <n v="22"/>
    <n v="3"/>
    <n v="17"/>
    <n v="13"/>
    <n v="1"/>
    <n v="9"/>
  </r>
  <r>
    <s v="Yes"/>
    <s v="Travel_Rarely"/>
    <x v="2"/>
    <s v="Ex-Employees"/>
    <x v="1"/>
    <x v="0"/>
    <x v="236"/>
    <x v="236"/>
    <x v="0"/>
    <x v="2"/>
    <x v="1"/>
    <s v="No"/>
    <s v="Y"/>
    <n v="3"/>
    <n v="-2"/>
    <n v="0"/>
    <x v="3"/>
    <x v="0"/>
    <n v="1"/>
    <n v="1"/>
    <n v="0"/>
    <n v="465"/>
    <n v="2"/>
    <x v="0"/>
    <n v="1"/>
    <n v="1"/>
    <n v="39"/>
    <n v="3"/>
    <n v="1"/>
    <n v="2"/>
    <n v="2707"/>
    <n v="21509"/>
    <n v="7"/>
    <n v="20"/>
    <n v="4"/>
    <n v="1"/>
    <n v="80"/>
    <n v="0"/>
    <n v="13"/>
    <n v="4"/>
    <n v="9"/>
    <n v="7"/>
    <n v="1"/>
    <n v="7"/>
  </r>
  <r>
    <s v="No"/>
    <s v="Non-Travel"/>
    <x v="1"/>
    <s v="Current Employees"/>
    <x v="0"/>
    <x v="0"/>
    <x v="237"/>
    <x v="237"/>
    <x v="1"/>
    <x v="5"/>
    <x v="0"/>
    <s v="Yes"/>
    <s v="Y"/>
    <n v="2"/>
    <n v="-2"/>
    <n v="0"/>
    <x v="39"/>
    <x v="1"/>
    <m/>
    <n v="0"/>
    <n v="1"/>
    <n v="771"/>
    <n v="2"/>
    <x v="2"/>
    <n v="1"/>
    <n v="1"/>
    <n v="79"/>
    <n v="2"/>
    <n v="5"/>
    <n v="2"/>
    <n v="19068"/>
    <n v="21030"/>
    <n v="1"/>
    <n v="18"/>
    <n v="3"/>
    <n v="4"/>
    <n v="80"/>
    <n v="0"/>
    <n v="33"/>
    <n v="4"/>
    <n v="33"/>
    <n v="7"/>
    <n v="15"/>
    <n v="12"/>
  </r>
  <r>
    <s v="No"/>
    <s v="Travel_Rarely"/>
    <x v="2"/>
    <s v="Current Employees"/>
    <x v="0"/>
    <x v="0"/>
    <x v="238"/>
    <x v="238"/>
    <x v="0"/>
    <x v="6"/>
    <x v="1"/>
    <s v="No"/>
    <s v="Y"/>
    <n v="5"/>
    <n v="-2"/>
    <n v="0"/>
    <x v="5"/>
    <x v="1"/>
    <m/>
    <n v="0"/>
    <n v="1"/>
    <n v="1401"/>
    <n v="4"/>
    <x v="0"/>
    <n v="1"/>
    <n v="3"/>
    <n v="56"/>
    <n v="3"/>
    <n v="1"/>
    <n v="2"/>
    <n v="3931"/>
    <n v="20990"/>
    <n v="2"/>
    <n v="11"/>
    <n v="3"/>
    <n v="1"/>
    <n v="80"/>
    <n v="1"/>
    <n v="6"/>
    <n v="3"/>
    <n v="4"/>
    <n v="3"/>
    <n v="1"/>
    <n v="2"/>
  </r>
  <r>
    <s v="Yes"/>
    <s v="Travel_Rarely"/>
    <x v="2"/>
    <s v="Ex-Employees"/>
    <x v="1"/>
    <x v="0"/>
    <x v="239"/>
    <x v="239"/>
    <x v="1"/>
    <x v="2"/>
    <x v="0"/>
    <s v="Yes"/>
    <s v="Y"/>
    <n v="2"/>
    <n v="-2"/>
    <n v="0"/>
    <x v="5"/>
    <x v="0"/>
    <n v="1"/>
    <n v="1"/>
    <n v="0"/>
    <n v="515"/>
    <n v="1"/>
    <x v="3"/>
    <n v="1"/>
    <n v="4"/>
    <n v="62"/>
    <n v="2"/>
    <n v="1"/>
    <n v="2"/>
    <n v="3730"/>
    <n v="9571"/>
    <n v="0"/>
    <n v="14"/>
    <n v="3"/>
    <n v="4"/>
    <n v="80"/>
    <n v="0"/>
    <n v="4"/>
    <n v="1"/>
    <n v="3"/>
    <n v="2"/>
    <n v="1"/>
    <n v="2"/>
  </r>
  <r>
    <s v="No"/>
    <s v="Travel_Rarely"/>
    <x v="0"/>
    <s v="Current Employees"/>
    <x v="1"/>
    <x v="2"/>
    <x v="240"/>
    <x v="240"/>
    <x v="0"/>
    <x v="2"/>
    <x v="2"/>
    <s v="No"/>
    <s v="Y"/>
    <n v="1"/>
    <n v="-2"/>
    <n v="0"/>
    <x v="22"/>
    <x v="1"/>
    <m/>
    <n v="0"/>
    <n v="1"/>
    <n v="1431"/>
    <n v="1"/>
    <x v="2"/>
    <n v="1"/>
    <n v="3"/>
    <n v="96"/>
    <n v="3"/>
    <n v="1"/>
    <n v="3"/>
    <n v="2232"/>
    <n v="15417"/>
    <n v="7"/>
    <n v="14"/>
    <n v="3"/>
    <n v="3"/>
    <n v="80"/>
    <n v="3"/>
    <n v="7"/>
    <n v="3"/>
    <n v="3"/>
    <n v="2"/>
    <n v="1"/>
    <n v="2"/>
  </r>
  <r>
    <s v="No"/>
    <s v="Non-Travel"/>
    <x v="2"/>
    <s v="Current Employees"/>
    <x v="0"/>
    <x v="3"/>
    <x v="241"/>
    <x v="241"/>
    <x v="1"/>
    <x v="0"/>
    <x v="1"/>
    <s v="No"/>
    <s v="Y"/>
    <n v="2"/>
    <n v="-2"/>
    <n v="0"/>
    <x v="5"/>
    <x v="1"/>
    <m/>
    <n v="0"/>
    <n v="1"/>
    <n v="976"/>
    <n v="26"/>
    <x v="2"/>
    <n v="1"/>
    <n v="3"/>
    <n v="100"/>
    <n v="3"/>
    <n v="2"/>
    <n v="1"/>
    <n v="4465"/>
    <n v="12069"/>
    <n v="0"/>
    <n v="18"/>
    <n v="3"/>
    <n v="1"/>
    <n v="80"/>
    <n v="0"/>
    <n v="4"/>
    <n v="3"/>
    <n v="3"/>
    <n v="2"/>
    <n v="2"/>
    <n v="2"/>
  </r>
  <r>
    <s v="No"/>
    <s v="Travel_Rarely"/>
    <x v="0"/>
    <s v="Current Employees"/>
    <x v="1"/>
    <x v="0"/>
    <x v="242"/>
    <x v="242"/>
    <x v="1"/>
    <x v="1"/>
    <x v="2"/>
    <s v="No"/>
    <s v="Y"/>
    <n v="2"/>
    <n v="-2"/>
    <n v="0"/>
    <x v="0"/>
    <x v="1"/>
    <m/>
    <n v="0"/>
    <n v="1"/>
    <n v="1411"/>
    <n v="19"/>
    <x v="0"/>
    <n v="1"/>
    <n v="3"/>
    <n v="36"/>
    <n v="3"/>
    <n v="2"/>
    <n v="2"/>
    <n v="3072"/>
    <n v="19877"/>
    <n v="2"/>
    <n v="16"/>
    <n v="3"/>
    <n v="1"/>
    <n v="80"/>
    <n v="2"/>
    <n v="17"/>
    <n v="2"/>
    <n v="1"/>
    <n v="0"/>
    <n v="0"/>
    <n v="0"/>
  </r>
  <r>
    <s v="No"/>
    <s v="Travel_Rarely"/>
    <x v="0"/>
    <s v="Current Employees"/>
    <x v="1"/>
    <x v="4"/>
    <x v="243"/>
    <x v="243"/>
    <x v="1"/>
    <x v="1"/>
    <x v="2"/>
    <s v="No"/>
    <s v="Y"/>
    <n v="3"/>
    <n v="-2"/>
    <n v="0"/>
    <x v="32"/>
    <x v="1"/>
    <m/>
    <n v="0"/>
    <n v="1"/>
    <n v="1300"/>
    <n v="24"/>
    <x v="0"/>
    <n v="1"/>
    <n v="4"/>
    <n v="62"/>
    <n v="3"/>
    <n v="2"/>
    <n v="4"/>
    <n v="3319"/>
    <n v="24447"/>
    <n v="1"/>
    <n v="17"/>
    <n v="3"/>
    <n v="1"/>
    <n v="80"/>
    <n v="2"/>
    <n v="9"/>
    <n v="3"/>
    <n v="9"/>
    <n v="8"/>
    <n v="4"/>
    <n v="7"/>
  </r>
  <r>
    <s v="No"/>
    <s v="Travel_Rarely"/>
    <x v="1"/>
    <s v="Current Employees"/>
    <x v="1"/>
    <x v="1"/>
    <x v="244"/>
    <x v="244"/>
    <x v="1"/>
    <x v="5"/>
    <x v="1"/>
    <s v="No"/>
    <s v="Y"/>
    <n v="2"/>
    <n v="-2"/>
    <n v="0"/>
    <x v="28"/>
    <x v="1"/>
    <m/>
    <n v="0"/>
    <n v="1"/>
    <n v="252"/>
    <n v="1"/>
    <x v="3"/>
    <n v="1"/>
    <n v="3"/>
    <n v="70"/>
    <n v="4"/>
    <n v="5"/>
    <n v="4"/>
    <n v="19202"/>
    <n v="15970"/>
    <n v="0"/>
    <n v="11"/>
    <n v="3"/>
    <n v="3"/>
    <n v="80"/>
    <n v="1"/>
    <n v="25"/>
    <n v="3"/>
    <n v="24"/>
    <n v="0"/>
    <n v="1"/>
    <n v="7"/>
  </r>
  <r>
    <s v="No"/>
    <s v="Travel_Frequently"/>
    <x v="2"/>
    <s v="Current Employees"/>
    <x v="1"/>
    <x v="2"/>
    <x v="245"/>
    <x v="245"/>
    <x v="1"/>
    <x v="7"/>
    <x v="2"/>
    <s v="No"/>
    <s v="Y"/>
    <n v="3"/>
    <n v="-2"/>
    <n v="0"/>
    <x v="12"/>
    <x v="1"/>
    <m/>
    <n v="0"/>
    <n v="1"/>
    <n v="1327"/>
    <n v="3"/>
    <x v="2"/>
    <n v="1"/>
    <n v="2"/>
    <n v="73"/>
    <n v="3"/>
    <n v="3"/>
    <n v="3"/>
    <n v="13675"/>
    <n v="13523"/>
    <n v="9"/>
    <n v="12"/>
    <n v="3"/>
    <n v="1"/>
    <n v="80"/>
    <n v="1"/>
    <n v="9"/>
    <n v="3"/>
    <n v="2"/>
    <n v="2"/>
    <n v="2"/>
    <n v="2"/>
  </r>
  <r>
    <s v="No"/>
    <s v="Travel_Rarely"/>
    <x v="2"/>
    <s v="Current Employees"/>
    <x v="1"/>
    <x v="0"/>
    <x v="246"/>
    <x v="246"/>
    <x v="0"/>
    <x v="1"/>
    <x v="1"/>
    <s v="No"/>
    <s v="Y"/>
    <n v="2"/>
    <n v="-2"/>
    <n v="0"/>
    <x v="3"/>
    <x v="1"/>
    <m/>
    <n v="0"/>
    <n v="1"/>
    <n v="832"/>
    <n v="5"/>
    <x v="2"/>
    <n v="1"/>
    <n v="3"/>
    <n v="63"/>
    <n v="2"/>
    <n v="1"/>
    <n v="2"/>
    <n v="2911"/>
    <n v="14776"/>
    <n v="1"/>
    <n v="13"/>
    <n v="3"/>
    <n v="3"/>
    <n v="80"/>
    <n v="1"/>
    <n v="2"/>
    <n v="2"/>
    <n v="2"/>
    <n v="2"/>
    <n v="0"/>
    <n v="2"/>
  </r>
  <r>
    <s v="No"/>
    <s v="Travel_Rarely"/>
    <x v="2"/>
    <s v="Current Employees"/>
    <x v="1"/>
    <x v="0"/>
    <x v="247"/>
    <x v="247"/>
    <x v="1"/>
    <x v="3"/>
    <x v="1"/>
    <s v="No"/>
    <s v="Y"/>
    <n v="3"/>
    <n v="-2"/>
    <n v="0"/>
    <x v="13"/>
    <x v="1"/>
    <m/>
    <n v="0"/>
    <n v="1"/>
    <n v="470"/>
    <n v="2"/>
    <x v="2"/>
    <n v="1"/>
    <n v="4"/>
    <n v="84"/>
    <n v="2"/>
    <n v="2"/>
    <n v="2"/>
    <n v="5957"/>
    <n v="23687"/>
    <n v="6"/>
    <n v="13"/>
    <n v="3"/>
    <n v="2"/>
    <n v="80"/>
    <n v="1"/>
    <n v="13"/>
    <n v="3"/>
    <n v="11"/>
    <n v="9"/>
    <n v="5"/>
    <n v="9"/>
  </r>
  <r>
    <s v="No"/>
    <s v="Travel_Rarely"/>
    <x v="0"/>
    <s v="Current Employees"/>
    <x v="1"/>
    <x v="2"/>
    <x v="248"/>
    <x v="248"/>
    <x v="0"/>
    <x v="1"/>
    <x v="1"/>
    <s v="No"/>
    <s v="Y"/>
    <n v="2"/>
    <n v="-2"/>
    <n v="0"/>
    <x v="2"/>
    <x v="1"/>
    <m/>
    <n v="0"/>
    <n v="1"/>
    <n v="1017"/>
    <n v="1"/>
    <x v="0"/>
    <n v="1"/>
    <n v="3"/>
    <n v="83"/>
    <n v="2"/>
    <n v="1"/>
    <n v="3"/>
    <n v="3920"/>
    <n v="18697"/>
    <n v="2"/>
    <n v="14"/>
    <n v="3"/>
    <n v="1"/>
    <n v="80"/>
    <n v="1"/>
    <n v="17"/>
    <n v="2"/>
    <n v="3"/>
    <n v="1"/>
    <n v="0"/>
    <n v="2"/>
  </r>
  <r>
    <s v="No"/>
    <s v="Travel_Frequently"/>
    <x v="1"/>
    <s v="Current Employees"/>
    <x v="1"/>
    <x v="0"/>
    <x v="249"/>
    <x v="249"/>
    <x v="1"/>
    <x v="3"/>
    <x v="1"/>
    <s v="No"/>
    <s v="Y"/>
    <n v="1"/>
    <n v="-2"/>
    <n v="0"/>
    <x v="28"/>
    <x v="1"/>
    <m/>
    <n v="0"/>
    <n v="1"/>
    <n v="1199"/>
    <n v="7"/>
    <x v="2"/>
    <n v="1"/>
    <n v="1"/>
    <n v="77"/>
    <n v="4"/>
    <n v="2"/>
    <n v="2"/>
    <n v="6434"/>
    <n v="5118"/>
    <n v="4"/>
    <n v="17"/>
    <n v="3"/>
    <n v="4"/>
    <n v="80"/>
    <n v="1"/>
    <n v="9"/>
    <n v="3"/>
    <n v="3"/>
    <n v="2"/>
    <n v="0"/>
    <n v="2"/>
  </r>
  <r>
    <s v="Yes"/>
    <s v="Travel_Frequently"/>
    <x v="0"/>
    <s v="Ex-Employees"/>
    <x v="1"/>
    <x v="2"/>
    <x v="250"/>
    <x v="250"/>
    <x v="1"/>
    <x v="3"/>
    <x v="2"/>
    <s v="No"/>
    <s v="Y"/>
    <n v="5"/>
    <n v="-2"/>
    <n v="0"/>
    <x v="2"/>
    <x v="0"/>
    <n v="1"/>
    <n v="1"/>
    <n v="0"/>
    <n v="504"/>
    <n v="10"/>
    <x v="3"/>
    <n v="1"/>
    <n v="1"/>
    <n v="61"/>
    <n v="3"/>
    <n v="3"/>
    <n v="3"/>
    <n v="10048"/>
    <n v="22573"/>
    <n v="6"/>
    <n v="11"/>
    <n v="3"/>
    <n v="2"/>
    <n v="80"/>
    <n v="2"/>
    <n v="17"/>
    <n v="3"/>
    <n v="1"/>
    <n v="0"/>
    <n v="0"/>
    <n v="0"/>
  </r>
  <r>
    <s v="No"/>
    <s v="Travel_Frequently"/>
    <x v="0"/>
    <s v="Current Employees"/>
    <x v="1"/>
    <x v="4"/>
    <x v="251"/>
    <x v="251"/>
    <x v="0"/>
    <x v="4"/>
    <x v="0"/>
    <s v="No"/>
    <s v="Y"/>
    <n v="1"/>
    <n v="-2"/>
    <n v="0"/>
    <x v="22"/>
    <x v="1"/>
    <m/>
    <n v="0"/>
    <n v="1"/>
    <n v="505"/>
    <n v="2"/>
    <x v="2"/>
    <n v="1"/>
    <n v="4"/>
    <n v="64"/>
    <n v="3"/>
    <n v="3"/>
    <n v="4"/>
    <n v="10938"/>
    <n v="6420"/>
    <n v="0"/>
    <n v="25"/>
    <n v="4"/>
    <n v="4"/>
    <n v="80"/>
    <n v="0"/>
    <n v="20"/>
    <n v="3"/>
    <n v="19"/>
    <n v="6"/>
    <n v="11"/>
    <n v="8"/>
  </r>
  <r>
    <s v="No"/>
    <s v="Travel_Rarely"/>
    <x v="2"/>
    <s v="Current Employees"/>
    <x v="1"/>
    <x v="0"/>
    <x v="252"/>
    <x v="252"/>
    <x v="1"/>
    <x v="1"/>
    <x v="0"/>
    <s v="No"/>
    <s v="Y"/>
    <n v="1"/>
    <n v="-2"/>
    <n v="0"/>
    <x v="11"/>
    <x v="1"/>
    <m/>
    <n v="0"/>
    <n v="1"/>
    <n v="665"/>
    <n v="15"/>
    <x v="3"/>
    <n v="1"/>
    <n v="3"/>
    <n v="60"/>
    <n v="3"/>
    <n v="1"/>
    <n v="2"/>
    <n v="2340"/>
    <n v="22673"/>
    <n v="1"/>
    <n v="19"/>
    <n v="3"/>
    <n v="1"/>
    <n v="80"/>
    <n v="0"/>
    <n v="6"/>
    <n v="3"/>
    <n v="6"/>
    <n v="5"/>
    <n v="1"/>
    <n v="5"/>
  </r>
  <r>
    <s v="No"/>
    <s v="Travel_Rarely"/>
    <x v="0"/>
    <s v="Current Employees"/>
    <x v="1"/>
    <x v="0"/>
    <x v="253"/>
    <x v="253"/>
    <x v="0"/>
    <x v="1"/>
    <x v="0"/>
    <s v="Yes"/>
    <s v="Y"/>
    <n v="1"/>
    <n v="-2"/>
    <n v="0"/>
    <x v="19"/>
    <x v="1"/>
    <m/>
    <n v="0"/>
    <n v="1"/>
    <n v="916"/>
    <n v="17"/>
    <x v="0"/>
    <n v="1"/>
    <n v="4"/>
    <n v="82"/>
    <n v="4"/>
    <n v="2"/>
    <n v="2"/>
    <n v="6545"/>
    <n v="23016"/>
    <n v="3"/>
    <n v="13"/>
    <n v="3"/>
    <n v="3"/>
    <n v="80"/>
    <n v="0"/>
    <n v="10"/>
    <n v="3"/>
    <n v="3"/>
    <n v="2"/>
    <n v="0"/>
    <n v="2"/>
  </r>
  <r>
    <s v="No"/>
    <s v="Travel_Rarely"/>
    <x v="2"/>
    <s v="Current Employees"/>
    <x v="0"/>
    <x v="3"/>
    <x v="254"/>
    <x v="254"/>
    <x v="1"/>
    <x v="0"/>
    <x v="2"/>
    <s v="No"/>
    <s v="Y"/>
    <n v="2"/>
    <n v="-2"/>
    <n v="0"/>
    <x v="11"/>
    <x v="1"/>
    <m/>
    <n v="0"/>
    <n v="1"/>
    <n v="1247"/>
    <n v="20"/>
    <x v="0"/>
    <n v="1"/>
    <n v="4"/>
    <n v="45"/>
    <n v="3"/>
    <n v="2"/>
    <n v="1"/>
    <n v="6931"/>
    <n v="10732"/>
    <n v="2"/>
    <n v="14"/>
    <n v="3"/>
    <n v="4"/>
    <n v="80"/>
    <n v="1"/>
    <n v="10"/>
    <n v="3"/>
    <n v="3"/>
    <n v="2"/>
    <n v="0"/>
    <n v="2"/>
  </r>
  <r>
    <s v="No"/>
    <s v="Travel_Rarely"/>
    <x v="2"/>
    <s v="Current Employees"/>
    <x v="1"/>
    <x v="0"/>
    <x v="255"/>
    <x v="255"/>
    <x v="0"/>
    <x v="3"/>
    <x v="1"/>
    <s v="No"/>
    <s v="Y"/>
    <n v="3"/>
    <n v="-2"/>
    <n v="0"/>
    <x v="36"/>
    <x v="1"/>
    <m/>
    <n v="0"/>
    <n v="1"/>
    <n v="685"/>
    <n v="1"/>
    <x v="3"/>
    <n v="1"/>
    <n v="1"/>
    <n v="62"/>
    <n v="3"/>
    <n v="2"/>
    <n v="2"/>
    <n v="4898"/>
    <n v="7505"/>
    <n v="0"/>
    <n v="12"/>
    <n v="3"/>
    <n v="4"/>
    <n v="80"/>
    <n v="2"/>
    <n v="5"/>
    <n v="3"/>
    <n v="4"/>
    <n v="2"/>
    <n v="1"/>
    <n v="2"/>
  </r>
  <r>
    <s v="No"/>
    <s v="Travel_Rarely"/>
    <x v="0"/>
    <s v="Current Employees"/>
    <x v="1"/>
    <x v="2"/>
    <x v="256"/>
    <x v="256"/>
    <x v="0"/>
    <x v="2"/>
    <x v="2"/>
    <s v="Yes"/>
    <s v="Y"/>
    <n v="4"/>
    <n v="-2"/>
    <n v="0"/>
    <x v="19"/>
    <x v="1"/>
    <m/>
    <n v="0"/>
    <n v="1"/>
    <n v="269"/>
    <n v="2"/>
    <x v="3"/>
    <n v="1"/>
    <n v="4"/>
    <n v="56"/>
    <n v="2"/>
    <n v="1"/>
    <n v="3"/>
    <n v="2593"/>
    <n v="8007"/>
    <n v="0"/>
    <n v="11"/>
    <n v="3"/>
    <n v="3"/>
    <n v="80"/>
    <n v="1"/>
    <n v="10"/>
    <n v="3"/>
    <n v="9"/>
    <n v="6"/>
    <n v="7"/>
    <n v="8"/>
  </r>
  <r>
    <s v="No"/>
    <s v="Travel_Rarely"/>
    <x v="0"/>
    <s v="Current Employees"/>
    <x v="1"/>
    <x v="2"/>
    <x v="257"/>
    <x v="257"/>
    <x v="1"/>
    <x v="7"/>
    <x v="2"/>
    <s v="No"/>
    <s v="Y"/>
    <n v="5"/>
    <n v="-2"/>
    <n v="0"/>
    <x v="32"/>
    <x v="1"/>
    <m/>
    <n v="0"/>
    <n v="1"/>
    <n v="1416"/>
    <n v="2"/>
    <x v="0"/>
    <n v="1"/>
    <n v="1"/>
    <n v="49"/>
    <n v="3"/>
    <n v="5"/>
    <n v="3"/>
    <n v="19436"/>
    <n v="5949"/>
    <n v="0"/>
    <n v="19"/>
    <n v="3"/>
    <n v="4"/>
    <n v="80"/>
    <n v="1"/>
    <n v="22"/>
    <n v="3"/>
    <n v="21"/>
    <n v="7"/>
    <n v="3"/>
    <n v="9"/>
  </r>
  <r>
    <s v="No"/>
    <s v="Travel_Rarely"/>
    <x v="1"/>
    <s v="Current Employees"/>
    <x v="1"/>
    <x v="0"/>
    <x v="258"/>
    <x v="258"/>
    <x v="1"/>
    <x v="1"/>
    <x v="1"/>
    <s v="No"/>
    <s v="Y"/>
    <n v="0"/>
    <n v="-2"/>
    <n v="0"/>
    <x v="31"/>
    <x v="1"/>
    <m/>
    <n v="0"/>
    <n v="1"/>
    <n v="833"/>
    <n v="1"/>
    <x v="3"/>
    <n v="1"/>
    <n v="3"/>
    <n v="96"/>
    <n v="3"/>
    <n v="1"/>
    <n v="2"/>
    <n v="2723"/>
    <n v="23231"/>
    <n v="1"/>
    <n v="11"/>
    <n v="3"/>
    <n v="2"/>
    <n v="80"/>
    <n v="0"/>
    <n v="1"/>
    <n v="2"/>
    <n v="1"/>
    <n v="0"/>
    <n v="0"/>
    <n v="0"/>
  </r>
  <r>
    <s v="Yes"/>
    <s v="Travel_Frequently"/>
    <x v="2"/>
    <s v="Ex-Employees"/>
    <x v="1"/>
    <x v="2"/>
    <x v="259"/>
    <x v="259"/>
    <x v="1"/>
    <x v="2"/>
    <x v="0"/>
    <s v="No"/>
    <s v="Y"/>
    <n v="2"/>
    <n v="-2"/>
    <n v="0"/>
    <x v="12"/>
    <x v="0"/>
    <n v="1"/>
    <n v="1"/>
    <n v="0"/>
    <n v="307"/>
    <n v="29"/>
    <x v="0"/>
    <n v="1"/>
    <n v="3"/>
    <n v="71"/>
    <n v="2"/>
    <n v="1"/>
    <n v="3"/>
    <n v="3479"/>
    <n v="11652"/>
    <n v="0"/>
    <n v="11"/>
    <n v="3"/>
    <n v="2"/>
    <n v="80"/>
    <n v="0"/>
    <n v="6"/>
    <n v="4"/>
    <n v="5"/>
    <n v="4"/>
    <n v="1"/>
    <n v="4"/>
  </r>
  <r>
    <s v="No"/>
    <s v="Travel_Frequently"/>
    <x v="2"/>
    <s v="Current Employees"/>
    <x v="1"/>
    <x v="0"/>
    <x v="260"/>
    <x v="260"/>
    <x v="1"/>
    <x v="2"/>
    <x v="1"/>
    <s v="No"/>
    <s v="Y"/>
    <n v="3"/>
    <n v="-2"/>
    <n v="0"/>
    <x v="5"/>
    <x v="1"/>
    <m/>
    <n v="0"/>
    <n v="1"/>
    <n v="1311"/>
    <n v="7"/>
    <x v="3"/>
    <n v="1"/>
    <n v="2"/>
    <n v="100"/>
    <n v="4"/>
    <n v="1"/>
    <n v="2"/>
    <n v="2794"/>
    <n v="26062"/>
    <n v="1"/>
    <n v="20"/>
    <n v="4"/>
    <n v="3"/>
    <n v="80"/>
    <n v="0"/>
    <n v="5"/>
    <n v="1"/>
    <n v="5"/>
    <n v="1"/>
    <n v="0"/>
    <n v="3"/>
  </r>
  <r>
    <s v="No"/>
    <s v="Non-Travel"/>
    <x v="0"/>
    <s v="Current Employees"/>
    <x v="0"/>
    <x v="0"/>
    <x v="261"/>
    <x v="261"/>
    <x v="1"/>
    <x v="0"/>
    <x v="1"/>
    <s v="No"/>
    <s v="Y"/>
    <n v="0"/>
    <n v="-2"/>
    <n v="0"/>
    <x v="8"/>
    <x v="1"/>
    <m/>
    <n v="0"/>
    <n v="1"/>
    <n v="1327"/>
    <n v="2"/>
    <x v="0"/>
    <n v="1"/>
    <n v="4"/>
    <n v="39"/>
    <n v="2"/>
    <n v="2"/>
    <n v="2"/>
    <n v="5249"/>
    <n v="19682"/>
    <n v="3"/>
    <n v="18"/>
    <n v="3"/>
    <n v="4"/>
    <n v="80"/>
    <n v="1"/>
    <n v="13"/>
    <n v="3"/>
    <n v="8"/>
    <n v="7"/>
    <n v="7"/>
    <n v="5"/>
  </r>
  <r>
    <s v="No"/>
    <s v="Travel_Rarely"/>
    <x v="2"/>
    <s v="Current Employees"/>
    <x v="1"/>
    <x v="4"/>
    <x v="262"/>
    <x v="262"/>
    <x v="1"/>
    <x v="2"/>
    <x v="0"/>
    <s v="No"/>
    <s v="Y"/>
    <n v="5"/>
    <n v="-2"/>
    <n v="0"/>
    <x v="5"/>
    <x v="1"/>
    <m/>
    <n v="0"/>
    <n v="1"/>
    <n v="128"/>
    <n v="2"/>
    <x v="1"/>
    <n v="1"/>
    <n v="4"/>
    <n v="84"/>
    <n v="2"/>
    <n v="2"/>
    <n v="4"/>
    <n v="2176"/>
    <n v="19737"/>
    <n v="4"/>
    <n v="13"/>
    <n v="3"/>
    <n v="4"/>
    <n v="80"/>
    <n v="0"/>
    <n v="9"/>
    <n v="3"/>
    <n v="6"/>
    <n v="2"/>
    <n v="0"/>
    <n v="4"/>
  </r>
  <r>
    <s v="No"/>
    <s v="Travel_Rarely"/>
    <x v="1"/>
    <s v="Current Employees"/>
    <x v="0"/>
    <x v="4"/>
    <x v="263"/>
    <x v="263"/>
    <x v="0"/>
    <x v="5"/>
    <x v="1"/>
    <s v="Yes"/>
    <s v="Y"/>
    <n v="2"/>
    <n v="-2"/>
    <n v="0"/>
    <x v="21"/>
    <x v="1"/>
    <m/>
    <n v="0"/>
    <n v="1"/>
    <n v="488"/>
    <n v="2"/>
    <x v="3"/>
    <n v="1"/>
    <n v="4"/>
    <n v="75"/>
    <n v="1"/>
    <n v="4"/>
    <n v="4"/>
    <n v="16872"/>
    <n v="14977"/>
    <n v="3"/>
    <n v="12"/>
    <n v="3"/>
    <n v="2"/>
    <n v="80"/>
    <n v="1"/>
    <n v="28"/>
    <n v="2"/>
    <n v="7"/>
    <n v="7"/>
    <n v="7"/>
    <n v="7"/>
  </r>
  <r>
    <s v="Yes"/>
    <s v="Travel_Rarely"/>
    <x v="2"/>
    <s v="Ex-Employees"/>
    <x v="1"/>
    <x v="0"/>
    <x v="264"/>
    <x v="264"/>
    <x v="1"/>
    <x v="2"/>
    <x v="0"/>
    <s v="No"/>
    <s v="Y"/>
    <n v="5"/>
    <n v="-2"/>
    <n v="0"/>
    <x v="14"/>
    <x v="0"/>
    <n v="1"/>
    <n v="1"/>
    <n v="0"/>
    <n v="529"/>
    <n v="2"/>
    <x v="2"/>
    <n v="1"/>
    <n v="1"/>
    <n v="79"/>
    <n v="3"/>
    <n v="1"/>
    <n v="2"/>
    <n v="3485"/>
    <n v="14935"/>
    <n v="2"/>
    <n v="11"/>
    <n v="3"/>
    <n v="3"/>
    <n v="80"/>
    <n v="0"/>
    <n v="5"/>
    <n v="1"/>
    <n v="0"/>
    <n v="0"/>
    <n v="0"/>
    <n v="0"/>
  </r>
  <r>
    <s v="No"/>
    <s v="Travel_Rarely"/>
    <x v="2"/>
    <s v="Current Employees"/>
    <x v="0"/>
    <x v="2"/>
    <x v="265"/>
    <x v="265"/>
    <x v="1"/>
    <x v="0"/>
    <x v="1"/>
    <s v="No"/>
    <s v="Y"/>
    <n v="2"/>
    <n v="-2"/>
    <n v="0"/>
    <x v="11"/>
    <x v="1"/>
    <m/>
    <n v="0"/>
    <n v="1"/>
    <n v="1210"/>
    <n v="2"/>
    <x v="3"/>
    <n v="1"/>
    <n v="1"/>
    <n v="78"/>
    <n v="2"/>
    <n v="2"/>
    <n v="3"/>
    <n v="6644"/>
    <n v="3687"/>
    <n v="2"/>
    <n v="19"/>
    <n v="3"/>
    <n v="2"/>
    <n v="80"/>
    <n v="2"/>
    <n v="10"/>
    <n v="3"/>
    <n v="0"/>
    <n v="0"/>
    <n v="0"/>
    <n v="0"/>
  </r>
  <r>
    <s v="No"/>
    <s v="Travel_Rarely"/>
    <x v="2"/>
    <s v="Current Employees"/>
    <x v="1"/>
    <x v="2"/>
    <x v="266"/>
    <x v="266"/>
    <x v="1"/>
    <x v="4"/>
    <x v="1"/>
    <s v="No"/>
    <s v="Y"/>
    <n v="2"/>
    <n v="-2"/>
    <n v="0"/>
    <x v="12"/>
    <x v="1"/>
    <m/>
    <n v="0"/>
    <n v="1"/>
    <n v="1463"/>
    <n v="23"/>
    <x v="3"/>
    <n v="1"/>
    <n v="2"/>
    <n v="64"/>
    <n v="2"/>
    <n v="2"/>
    <n v="4"/>
    <n v="5582"/>
    <n v="14408"/>
    <n v="0"/>
    <n v="21"/>
    <n v="4"/>
    <n v="2"/>
    <n v="80"/>
    <n v="1"/>
    <n v="10"/>
    <n v="3"/>
    <n v="9"/>
    <n v="0"/>
    <n v="7"/>
    <n v="8"/>
  </r>
  <r>
    <s v="No"/>
    <s v="Non-Travel"/>
    <x v="2"/>
    <s v="Current Employees"/>
    <x v="1"/>
    <x v="0"/>
    <x v="267"/>
    <x v="267"/>
    <x v="1"/>
    <x v="4"/>
    <x v="2"/>
    <s v="No"/>
    <s v="Y"/>
    <n v="2"/>
    <n v="-2"/>
    <n v="0"/>
    <x v="36"/>
    <x v="1"/>
    <m/>
    <n v="0"/>
    <n v="1"/>
    <n v="675"/>
    <n v="5"/>
    <x v="0"/>
    <n v="1"/>
    <n v="2"/>
    <n v="85"/>
    <n v="4"/>
    <n v="2"/>
    <n v="2"/>
    <n v="4000"/>
    <n v="18384"/>
    <n v="1"/>
    <n v="12"/>
    <n v="3"/>
    <n v="4"/>
    <n v="80"/>
    <n v="2"/>
    <n v="6"/>
    <n v="3"/>
    <n v="6"/>
    <n v="3"/>
    <n v="1"/>
    <n v="5"/>
  </r>
  <r>
    <s v="No"/>
    <s v="Travel_Rarely"/>
    <x v="1"/>
    <s v="Current Employees"/>
    <x v="1"/>
    <x v="2"/>
    <x v="268"/>
    <x v="268"/>
    <x v="1"/>
    <x v="4"/>
    <x v="1"/>
    <s v="Yes"/>
    <s v="Y"/>
    <n v="2"/>
    <n v="-2"/>
    <n v="0"/>
    <x v="28"/>
    <x v="1"/>
    <m/>
    <n v="0"/>
    <n v="1"/>
    <n v="1385"/>
    <n v="20"/>
    <x v="0"/>
    <n v="1"/>
    <n v="3"/>
    <n v="79"/>
    <n v="3"/>
    <n v="4"/>
    <n v="4"/>
    <n v="13496"/>
    <n v="7501"/>
    <n v="0"/>
    <n v="14"/>
    <n v="3"/>
    <n v="2"/>
    <n v="80"/>
    <n v="0"/>
    <n v="21"/>
    <n v="3"/>
    <n v="20"/>
    <n v="7"/>
    <n v="4"/>
    <n v="10"/>
  </r>
  <r>
    <s v="No"/>
    <s v="Travel_Rarely"/>
    <x v="0"/>
    <s v="Current Employees"/>
    <x v="1"/>
    <x v="0"/>
    <x v="269"/>
    <x v="269"/>
    <x v="1"/>
    <x v="2"/>
    <x v="1"/>
    <s v="No"/>
    <s v="Y"/>
    <n v="4"/>
    <n v="-2"/>
    <n v="0"/>
    <x v="9"/>
    <x v="1"/>
    <m/>
    <n v="0"/>
    <n v="1"/>
    <n v="1403"/>
    <n v="6"/>
    <x v="3"/>
    <n v="1"/>
    <n v="4"/>
    <n v="47"/>
    <n v="3"/>
    <n v="1"/>
    <n v="2"/>
    <n v="3210"/>
    <n v="20251"/>
    <n v="0"/>
    <n v="11"/>
    <n v="3"/>
    <n v="3"/>
    <n v="80"/>
    <n v="1"/>
    <n v="16"/>
    <n v="3"/>
    <n v="15"/>
    <n v="13"/>
    <n v="10"/>
    <n v="11"/>
  </r>
  <r>
    <s v="No"/>
    <s v="Travel_Rarely"/>
    <x v="3"/>
    <s v="Current Employees"/>
    <x v="1"/>
    <x v="2"/>
    <x v="270"/>
    <x v="270"/>
    <x v="1"/>
    <x v="5"/>
    <x v="0"/>
    <s v="Yes"/>
    <s v="Y"/>
    <n v="2"/>
    <n v="-2"/>
    <n v="0"/>
    <x v="27"/>
    <x v="1"/>
    <m/>
    <n v="0"/>
    <n v="1"/>
    <n v="452"/>
    <n v="1"/>
    <x v="3"/>
    <n v="1"/>
    <n v="4"/>
    <n v="81"/>
    <n v="3"/>
    <n v="5"/>
    <n v="3"/>
    <n v="19045"/>
    <n v="18938"/>
    <n v="0"/>
    <n v="14"/>
    <n v="3"/>
    <n v="3"/>
    <n v="80"/>
    <n v="0"/>
    <n v="37"/>
    <n v="3"/>
    <n v="36"/>
    <n v="10"/>
    <n v="4"/>
    <n v="13"/>
  </r>
  <r>
    <s v="Yes"/>
    <s v="Non-Travel"/>
    <x v="1"/>
    <s v="Ex-Employees"/>
    <x v="1"/>
    <x v="0"/>
    <x v="271"/>
    <x v="271"/>
    <x v="1"/>
    <x v="5"/>
    <x v="1"/>
    <s v="Yes"/>
    <s v="Y"/>
    <n v="2"/>
    <n v="-2"/>
    <n v="0"/>
    <x v="40"/>
    <x v="0"/>
    <n v="1"/>
    <n v="1"/>
    <n v="0"/>
    <n v="666"/>
    <n v="29"/>
    <x v="2"/>
    <n v="1"/>
    <n v="1"/>
    <n v="88"/>
    <n v="3"/>
    <n v="3"/>
    <n v="2"/>
    <n v="11849"/>
    <n v="10268"/>
    <n v="1"/>
    <n v="12"/>
    <n v="3"/>
    <n v="4"/>
    <n v="80"/>
    <n v="1"/>
    <n v="10"/>
    <n v="2"/>
    <n v="10"/>
    <n v="7"/>
    <n v="9"/>
    <n v="9"/>
  </r>
  <r>
    <s v="No"/>
    <s v="Travel_Rarely"/>
    <x v="2"/>
    <s v="Current Employees"/>
    <x v="1"/>
    <x v="2"/>
    <x v="272"/>
    <x v="272"/>
    <x v="1"/>
    <x v="1"/>
    <x v="1"/>
    <s v="No"/>
    <s v="Y"/>
    <n v="3"/>
    <n v="-2"/>
    <n v="0"/>
    <x v="14"/>
    <x v="1"/>
    <m/>
    <n v="0"/>
    <n v="1"/>
    <n v="1158"/>
    <n v="9"/>
    <x v="3"/>
    <n v="1"/>
    <n v="4"/>
    <n v="94"/>
    <n v="3"/>
    <n v="1"/>
    <n v="4"/>
    <n v="2070"/>
    <n v="2613"/>
    <n v="1"/>
    <n v="23"/>
    <n v="4"/>
    <n v="4"/>
    <n v="80"/>
    <n v="1"/>
    <n v="5"/>
    <n v="2"/>
    <n v="5"/>
    <n v="2"/>
    <n v="0"/>
    <n v="4"/>
  </r>
  <r>
    <s v="No"/>
    <s v="Travel_Rarely"/>
    <x v="0"/>
    <s v="Current Employees"/>
    <x v="0"/>
    <x v="2"/>
    <x v="273"/>
    <x v="273"/>
    <x v="1"/>
    <x v="0"/>
    <x v="1"/>
    <s v="No"/>
    <s v="Y"/>
    <n v="5"/>
    <n v="-2"/>
    <n v="0"/>
    <x v="2"/>
    <x v="1"/>
    <m/>
    <n v="0"/>
    <n v="1"/>
    <n v="228"/>
    <n v="6"/>
    <x v="2"/>
    <n v="1"/>
    <n v="3"/>
    <n v="98"/>
    <n v="3"/>
    <n v="2"/>
    <n v="4"/>
    <n v="6502"/>
    <n v="22825"/>
    <n v="4"/>
    <n v="14"/>
    <n v="3"/>
    <n v="2"/>
    <n v="80"/>
    <n v="1"/>
    <n v="7"/>
    <n v="4"/>
    <n v="5"/>
    <n v="4"/>
    <n v="0"/>
    <n v="1"/>
  </r>
  <r>
    <s v="No"/>
    <s v="Travel_Rarely"/>
    <x v="4"/>
    <s v="Current Employees"/>
    <x v="1"/>
    <x v="2"/>
    <x v="274"/>
    <x v="274"/>
    <x v="1"/>
    <x v="1"/>
    <x v="0"/>
    <s v="No"/>
    <s v="Y"/>
    <n v="4"/>
    <n v="-2"/>
    <n v="0"/>
    <x v="18"/>
    <x v="1"/>
    <m/>
    <n v="0"/>
    <n v="1"/>
    <n v="996"/>
    <n v="3"/>
    <x v="0"/>
    <n v="1"/>
    <n v="4"/>
    <n v="100"/>
    <n v="2"/>
    <n v="1"/>
    <n v="3"/>
    <n v="3230"/>
    <n v="10531"/>
    <n v="1"/>
    <n v="17"/>
    <n v="3"/>
    <n v="1"/>
    <n v="80"/>
    <n v="0"/>
    <n v="3"/>
    <n v="4"/>
    <n v="3"/>
    <n v="2"/>
    <n v="1"/>
    <n v="0"/>
  </r>
  <r>
    <s v="No"/>
    <s v="Non-Travel"/>
    <x v="0"/>
    <s v="Current Employees"/>
    <x v="1"/>
    <x v="2"/>
    <x v="275"/>
    <x v="275"/>
    <x v="0"/>
    <x v="7"/>
    <x v="2"/>
    <s v="Yes"/>
    <s v="Y"/>
    <n v="2"/>
    <n v="-2"/>
    <n v="0"/>
    <x v="2"/>
    <x v="1"/>
    <m/>
    <n v="0"/>
    <n v="1"/>
    <n v="728"/>
    <n v="1"/>
    <x v="2"/>
    <n v="1"/>
    <n v="1"/>
    <n v="80"/>
    <n v="3"/>
    <n v="3"/>
    <n v="4"/>
    <n v="13603"/>
    <n v="11677"/>
    <n v="2"/>
    <n v="18"/>
    <n v="3"/>
    <n v="1"/>
    <n v="80"/>
    <n v="2"/>
    <n v="15"/>
    <n v="3"/>
    <n v="5"/>
    <n v="2"/>
    <n v="0"/>
    <n v="2"/>
  </r>
  <r>
    <s v="No"/>
    <s v="Travel_Rarely"/>
    <x v="0"/>
    <s v="Current Employees"/>
    <x v="1"/>
    <x v="0"/>
    <x v="276"/>
    <x v="276"/>
    <x v="0"/>
    <x v="5"/>
    <x v="2"/>
    <s v="No"/>
    <s v="Y"/>
    <n v="6"/>
    <n v="-2"/>
    <n v="0"/>
    <x v="10"/>
    <x v="1"/>
    <m/>
    <n v="0"/>
    <n v="1"/>
    <n v="1315"/>
    <n v="22"/>
    <x v="3"/>
    <n v="1"/>
    <n v="2"/>
    <n v="71"/>
    <n v="4"/>
    <n v="3"/>
    <n v="2"/>
    <n v="11996"/>
    <n v="19100"/>
    <n v="7"/>
    <n v="18"/>
    <n v="3"/>
    <n v="2"/>
    <n v="80"/>
    <n v="1"/>
    <n v="10"/>
    <n v="2"/>
    <n v="7"/>
    <n v="7"/>
    <n v="6"/>
    <n v="2"/>
  </r>
  <r>
    <s v="No"/>
    <s v="Travel_Rarely"/>
    <x v="0"/>
    <s v="Current Employees"/>
    <x v="0"/>
    <x v="2"/>
    <x v="277"/>
    <x v="277"/>
    <x v="0"/>
    <x v="0"/>
    <x v="2"/>
    <s v="Yes"/>
    <s v="Y"/>
    <n v="3"/>
    <n v="-2"/>
    <n v="0"/>
    <x v="8"/>
    <x v="1"/>
    <m/>
    <n v="0"/>
    <n v="1"/>
    <n v="322"/>
    <n v="7"/>
    <x v="0"/>
    <n v="1"/>
    <n v="1"/>
    <n v="44"/>
    <n v="4"/>
    <n v="2"/>
    <n v="3"/>
    <n v="5605"/>
    <n v="19191"/>
    <n v="1"/>
    <n v="24"/>
    <n v="4"/>
    <n v="3"/>
    <n v="80"/>
    <n v="1"/>
    <n v="8"/>
    <n v="3"/>
    <n v="8"/>
    <n v="0"/>
    <n v="7"/>
    <n v="7"/>
  </r>
  <r>
    <s v="No"/>
    <s v="Travel_Frequently"/>
    <x v="2"/>
    <s v="Current Employees"/>
    <x v="1"/>
    <x v="0"/>
    <x v="278"/>
    <x v="278"/>
    <x v="0"/>
    <x v="3"/>
    <x v="2"/>
    <s v="No"/>
    <s v="Y"/>
    <n v="6"/>
    <n v="-2"/>
    <n v="0"/>
    <x v="25"/>
    <x v="1"/>
    <m/>
    <n v="0"/>
    <n v="1"/>
    <n v="1479"/>
    <n v="1"/>
    <x v="3"/>
    <n v="1"/>
    <n v="3"/>
    <n v="84"/>
    <n v="3"/>
    <n v="2"/>
    <n v="2"/>
    <n v="6397"/>
    <n v="26767"/>
    <n v="1"/>
    <n v="20"/>
    <n v="4"/>
    <n v="1"/>
    <n v="80"/>
    <n v="1"/>
    <n v="6"/>
    <n v="1"/>
    <n v="6"/>
    <n v="5"/>
    <n v="1"/>
    <n v="4"/>
  </r>
  <r>
    <s v="No"/>
    <s v="Travel_Rarely"/>
    <x v="1"/>
    <s v="Current Employees"/>
    <x v="1"/>
    <x v="0"/>
    <x v="279"/>
    <x v="279"/>
    <x v="1"/>
    <x v="7"/>
    <x v="2"/>
    <s v="No"/>
    <s v="Y"/>
    <n v="4"/>
    <n v="-2"/>
    <n v="0"/>
    <x v="24"/>
    <x v="1"/>
    <m/>
    <n v="0"/>
    <n v="1"/>
    <n v="797"/>
    <n v="4"/>
    <x v="1"/>
    <n v="1"/>
    <n v="1"/>
    <n v="96"/>
    <n v="3"/>
    <n v="5"/>
    <n v="2"/>
    <n v="19144"/>
    <n v="15815"/>
    <n v="3"/>
    <n v="14"/>
    <n v="3"/>
    <n v="1"/>
    <n v="80"/>
    <n v="2"/>
    <n v="28"/>
    <n v="2"/>
    <n v="10"/>
    <n v="4"/>
    <n v="1"/>
    <n v="6"/>
  </r>
  <r>
    <s v="No"/>
    <s v="Travel_Rarely"/>
    <x v="1"/>
    <s v="Current Employees"/>
    <x v="1"/>
    <x v="2"/>
    <x v="280"/>
    <x v="280"/>
    <x v="1"/>
    <x v="7"/>
    <x v="1"/>
    <s v="Yes"/>
    <s v="Y"/>
    <n v="5"/>
    <n v="-2"/>
    <n v="0"/>
    <x v="16"/>
    <x v="1"/>
    <m/>
    <n v="0"/>
    <n v="1"/>
    <n v="1070"/>
    <n v="3"/>
    <x v="2"/>
    <n v="1"/>
    <n v="3"/>
    <n v="45"/>
    <n v="3"/>
    <n v="4"/>
    <n v="3"/>
    <n v="17584"/>
    <n v="21016"/>
    <n v="3"/>
    <n v="16"/>
    <n v="3"/>
    <n v="4"/>
    <n v="80"/>
    <n v="3"/>
    <n v="21"/>
    <n v="2"/>
    <n v="5"/>
    <n v="3"/>
    <n v="1"/>
    <n v="3"/>
  </r>
  <r>
    <s v="No"/>
    <s v="Travel_Rarely"/>
    <x v="0"/>
    <s v="Current Employees"/>
    <x v="0"/>
    <x v="0"/>
    <x v="281"/>
    <x v="281"/>
    <x v="1"/>
    <x v="0"/>
    <x v="1"/>
    <s v="No"/>
    <s v="Y"/>
    <n v="3"/>
    <n v="-2"/>
    <n v="0"/>
    <x v="19"/>
    <x v="1"/>
    <m/>
    <n v="0"/>
    <n v="1"/>
    <n v="635"/>
    <n v="1"/>
    <x v="1"/>
    <n v="1"/>
    <n v="2"/>
    <n v="99"/>
    <n v="3"/>
    <n v="2"/>
    <n v="2"/>
    <n v="4907"/>
    <n v="24532"/>
    <n v="1"/>
    <n v="25"/>
    <n v="4"/>
    <n v="3"/>
    <n v="80"/>
    <n v="0"/>
    <n v="20"/>
    <n v="3"/>
    <n v="20"/>
    <n v="16"/>
    <n v="11"/>
    <n v="6"/>
  </r>
  <r>
    <s v="No"/>
    <s v="Travel_Frequently"/>
    <x v="2"/>
    <s v="Current Employees"/>
    <x v="0"/>
    <x v="0"/>
    <x v="282"/>
    <x v="282"/>
    <x v="1"/>
    <x v="0"/>
    <x v="0"/>
    <s v="No"/>
    <s v="Y"/>
    <n v="3"/>
    <n v="-2"/>
    <n v="0"/>
    <x v="11"/>
    <x v="1"/>
    <m/>
    <n v="0"/>
    <n v="1"/>
    <n v="442"/>
    <n v="2"/>
    <x v="0"/>
    <n v="1"/>
    <n v="2"/>
    <n v="44"/>
    <n v="3"/>
    <n v="2"/>
    <n v="2"/>
    <n v="4554"/>
    <n v="20260"/>
    <n v="1"/>
    <n v="18"/>
    <n v="3"/>
    <n v="1"/>
    <n v="80"/>
    <n v="0"/>
    <n v="10"/>
    <n v="2"/>
    <n v="10"/>
    <n v="7"/>
    <n v="0"/>
    <n v="9"/>
  </r>
  <r>
    <s v="No"/>
    <s v="Travel_Rarely"/>
    <x v="3"/>
    <s v="Current Employees"/>
    <x v="1"/>
    <x v="4"/>
    <x v="283"/>
    <x v="283"/>
    <x v="1"/>
    <x v="2"/>
    <x v="1"/>
    <s v="Yes"/>
    <s v="Y"/>
    <n v="4"/>
    <n v="-2"/>
    <n v="0"/>
    <x v="27"/>
    <x v="1"/>
    <m/>
    <n v="0"/>
    <n v="1"/>
    <n v="147"/>
    <n v="20"/>
    <x v="0"/>
    <n v="1"/>
    <n v="4"/>
    <n v="37"/>
    <n v="3"/>
    <n v="2"/>
    <n v="4"/>
    <n v="5415"/>
    <n v="15972"/>
    <n v="3"/>
    <n v="19"/>
    <n v="3"/>
    <n v="4"/>
    <n v="80"/>
    <n v="1"/>
    <n v="12"/>
    <n v="3"/>
    <n v="10"/>
    <n v="7"/>
    <n v="0"/>
    <n v="8"/>
  </r>
  <r>
    <s v="No"/>
    <s v="Travel_Frequently"/>
    <x v="2"/>
    <s v="Current Employees"/>
    <x v="1"/>
    <x v="2"/>
    <x v="284"/>
    <x v="284"/>
    <x v="1"/>
    <x v="4"/>
    <x v="1"/>
    <s v="Yes"/>
    <s v="Y"/>
    <n v="3"/>
    <n v="-2"/>
    <n v="0"/>
    <x v="25"/>
    <x v="1"/>
    <m/>
    <n v="0"/>
    <n v="1"/>
    <n v="496"/>
    <n v="11"/>
    <x v="0"/>
    <n v="1"/>
    <n v="1"/>
    <n v="60"/>
    <n v="3"/>
    <n v="2"/>
    <n v="3"/>
    <n v="4741"/>
    <n v="22722"/>
    <n v="1"/>
    <n v="13"/>
    <n v="3"/>
    <n v="3"/>
    <n v="80"/>
    <n v="1"/>
    <n v="5"/>
    <n v="3"/>
    <n v="5"/>
    <n v="3"/>
    <n v="3"/>
    <n v="3"/>
  </r>
  <r>
    <s v="No"/>
    <s v="Travel_Rarely"/>
    <x v="0"/>
    <s v="Current Employees"/>
    <x v="1"/>
    <x v="0"/>
    <x v="285"/>
    <x v="285"/>
    <x v="0"/>
    <x v="1"/>
    <x v="0"/>
    <s v="No"/>
    <s v="Y"/>
    <n v="3"/>
    <n v="-2"/>
    <n v="0"/>
    <x v="2"/>
    <x v="1"/>
    <m/>
    <n v="0"/>
    <n v="1"/>
    <n v="1372"/>
    <n v="1"/>
    <x v="3"/>
    <n v="1"/>
    <n v="4"/>
    <n v="42"/>
    <n v="3"/>
    <n v="1"/>
    <n v="2"/>
    <n v="2115"/>
    <n v="15881"/>
    <n v="1"/>
    <n v="12"/>
    <n v="3"/>
    <n v="2"/>
    <n v="80"/>
    <n v="0"/>
    <n v="17"/>
    <n v="3"/>
    <n v="17"/>
    <n v="12"/>
    <n v="5"/>
    <n v="7"/>
  </r>
  <r>
    <s v="Yes"/>
    <s v="Travel_Frequently"/>
    <x v="0"/>
    <s v="Ex-Employees"/>
    <x v="1"/>
    <x v="0"/>
    <x v="286"/>
    <x v="286"/>
    <x v="1"/>
    <x v="2"/>
    <x v="2"/>
    <s v="Yes"/>
    <s v="Y"/>
    <n v="0"/>
    <n v="-2"/>
    <n v="0"/>
    <x v="20"/>
    <x v="0"/>
    <n v="1"/>
    <n v="1"/>
    <n v="0"/>
    <n v="920"/>
    <n v="24"/>
    <x v="3"/>
    <n v="1"/>
    <n v="4"/>
    <n v="43"/>
    <n v="3"/>
    <n v="1"/>
    <n v="2"/>
    <n v="3161"/>
    <n v="19920"/>
    <n v="3"/>
    <n v="22"/>
    <n v="4"/>
    <n v="4"/>
    <n v="80"/>
    <n v="1"/>
    <n v="19"/>
    <n v="1"/>
    <n v="1"/>
    <n v="0"/>
    <n v="0"/>
    <n v="0"/>
  </r>
  <r>
    <s v="No"/>
    <s v="Travel_Rarely"/>
    <x v="0"/>
    <s v="Current Employees"/>
    <x v="1"/>
    <x v="0"/>
    <x v="287"/>
    <x v="287"/>
    <x v="1"/>
    <x v="4"/>
    <x v="2"/>
    <s v="No"/>
    <s v="Y"/>
    <n v="2"/>
    <n v="-2"/>
    <n v="0"/>
    <x v="8"/>
    <x v="1"/>
    <m/>
    <n v="0"/>
    <n v="1"/>
    <n v="688"/>
    <n v="23"/>
    <x v="2"/>
    <n v="1"/>
    <n v="4"/>
    <n v="82"/>
    <n v="3"/>
    <n v="2"/>
    <n v="2"/>
    <n v="5745"/>
    <n v="18899"/>
    <n v="9"/>
    <n v="14"/>
    <n v="3"/>
    <n v="2"/>
    <n v="80"/>
    <n v="1"/>
    <n v="10"/>
    <n v="3"/>
    <n v="2"/>
    <n v="2"/>
    <n v="1"/>
    <n v="2"/>
  </r>
  <r>
    <s v="Yes"/>
    <s v="Travel_Rarely"/>
    <x v="2"/>
    <s v="Ex-Employees"/>
    <x v="1"/>
    <x v="2"/>
    <x v="288"/>
    <x v="288"/>
    <x v="1"/>
    <x v="2"/>
    <x v="2"/>
    <s v="Yes"/>
    <s v="Y"/>
    <n v="2"/>
    <n v="-2"/>
    <n v="0"/>
    <x v="25"/>
    <x v="0"/>
    <n v="1"/>
    <n v="1"/>
    <n v="0"/>
    <n v="1449"/>
    <n v="16"/>
    <x v="2"/>
    <n v="1"/>
    <n v="1"/>
    <n v="45"/>
    <n v="3"/>
    <n v="1"/>
    <n v="3"/>
    <n v="2373"/>
    <n v="14180"/>
    <n v="2"/>
    <n v="13"/>
    <n v="3"/>
    <n v="4"/>
    <n v="80"/>
    <n v="1"/>
    <n v="5"/>
    <n v="3"/>
    <n v="3"/>
    <n v="2"/>
    <n v="0"/>
    <n v="2"/>
  </r>
  <r>
    <s v="No"/>
    <s v="Travel_Rarely"/>
    <x v="2"/>
    <s v="Current Employees"/>
    <x v="1"/>
    <x v="0"/>
    <x v="289"/>
    <x v="289"/>
    <x v="0"/>
    <x v="1"/>
    <x v="0"/>
    <s v="No"/>
    <s v="Y"/>
    <n v="3"/>
    <n v="-2"/>
    <n v="0"/>
    <x v="14"/>
    <x v="1"/>
    <m/>
    <n v="0"/>
    <n v="1"/>
    <n v="1117"/>
    <n v="8"/>
    <x v="0"/>
    <n v="1"/>
    <n v="4"/>
    <n v="66"/>
    <n v="3"/>
    <n v="1"/>
    <n v="2"/>
    <n v="3310"/>
    <n v="4488"/>
    <n v="1"/>
    <n v="21"/>
    <n v="4"/>
    <n v="4"/>
    <n v="80"/>
    <n v="0"/>
    <n v="5"/>
    <n v="3"/>
    <n v="5"/>
    <n v="3"/>
    <n v="0"/>
    <n v="2"/>
  </r>
  <r>
    <s v="No"/>
    <s v="Travel_Frequently"/>
    <x v="1"/>
    <s v="Current Employees"/>
    <x v="1"/>
    <x v="0"/>
    <x v="290"/>
    <x v="290"/>
    <x v="0"/>
    <x v="7"/>
    <x v="0"/>
    <s v="Yes"/>
    <s v="Y"/>
    <n v="4"/>
    <n v="-2"/>
    <n v="0"/>
    <x v="1"/>
    <x v="1"/>
    <m/>
    <n v="0"/>
    <n v="1"/>
    <n v="636"/>
    <n v="10"/>
    <x v="2"/>
    <n v="1"/>
    <n v="3"/>
    <n v="35"/>
    <n v="3"/>
    <n v="5"/>
    <n v="2"/>
    <n v="18665"/>
    <n v="25594"/>
    <n v="9"/>
    <n v="11"/>
    <n v="3"/>
    <n v="4"/>
    <n v="80"/>
    <n v="0"/>
    <n v="22"/>
    <n v="3"/>
    <n v="3"/>
    <n v="2"/>
    <n v="1"/>
    <n v="2"/>
  </r>
  <r>
    <s v="No"/>
    <s v="Travel_Rarely"/>
    <x v="0"/>
    <s v="Current Employees"/>
    <x v="1"/>
    <x v="4"/>
    <x v="291"/>
    <x v="291"/>
    <x v="1"/>
    <x v="1"/>
    <x v="0"/>
    <s v="No"/>
    <s v="Y"/>
    <n v="2"/>
    <n v="-2"/>
    <n v="0"/>
    <x v="9"/>
    <x v="1"/>
    <m/>
    <n v="0"/>
    <n v="1"/>
    <n v="506"/>
    <n v="3"/>
    <x v="3"/>
    <n v="1"/>
    <n v="4"/>
    <n v="30"/>
    <n v="3"/>
    <n v="2"/>
    <n v="4"/>
    <n v="4485"/>
    <n v="26285"/>
    <n v="4"/>
    <n v="12"/>
    <n v="3"/>
    <n v="4"/>
    <n v="80"/>
    <n v="0"/>
    <n v="10"/>
    <n v="3"/>
    <n v="8"/>
    <n v="0"/>
    <n v="7"/>
    <n v="7"/>
  </r>
  <r>
    <s v="No"/>
    <s v="Travel_Frequently"/>
    <x v="2"/>
    <s v="Current Employees"/>
    <x v="0"/>
    <x v="3"/>
    <x v="292"/>
    <x v="292"/>
    <x v="0"/>
    <x v="6"/>
    <x v="2"/>
    <s v="No"/>
    <s v="Y"/>
    <n v="5"/>
    <n v="-2"/>
    <n v="0"/>
    <x v="12"/>
    <x v="1"/>
    <m/>
    <n v="0"/>
    <n v="1"/>
    <n v="444"/>
    <n v="5"/>
    <x v="3"/>
    <n v="1"/>
    <n v="4"/>
    <n v="84"/>
    <n v="3"/>
    <n v="1"/>
    <n v="1"/>
    <n v="2789"/>
    <n v="3909"/>
    <n v="1"/>
    <n v="11"/>
    <n v="3"/>
    <n v="3"/>
    <n v="80"/>
    <n v="1"/>
    <n v="2"/>
    <n v="2"/>
    <n v="2"/>
    <n v="2"/>
    <n v="2"/>
    <n v="2"/>
  </r>
  <r>
    <s v="Yes"/>
    <s v="Travel_Rarely"/>
    <x v="2"/>
    <s v="Ex-Employees"/>
    <x v="0"/>
    <x v="3"/>
    <x v="293"/>
    <x v="293"/>
    <x v="1"/>
    <x v="0"/>
    <x v="0"/>
    <s v="Yes"/>
    <s v="Y"/>
    <n v="0"/>
    <n v="-2"/>
    <n v="0"/>
    <x v="25"/>
    <x v="0"/>
    <n v="1"/>
    <n v="1"/>
    <n v="0"/>
    <n v="950"/>
    <n v="4"/>
    <x v="2"/>
    <n v="1"/>
    <n v="4"/>
    <n v="48"/>
    <n v="2"/>
    <n v="2"/>
    <n v="1"/>
    <n v="5828"/>
    <n v="8450"/>
    <n v="1"/>
    <n v="12"/>
    <n v="3"/>
    <n v="2"/>
    <n v="80"/>
    <n v="0"/>
    <n v="8"/>
    <n v="3"/>
    <n v="8"/>
    <n v="7"/>
    <n v="7"/>
    <n v="4"/>
  </r>
  <r>
    <s v="No"/>
    <s v="Travel_Frequently"/>
    <x v="0"/>
    <s v="Current Employees"/>
    <x v="1"/>
    <x v="2"/>
    <x v="294"/>
    <x v="294"/>
    <x v="1"/>
    <x v="1"/>
    <x v="1"/>
    <s v="Yes"/>
    <s v="Y"/>
    <n v="3"/>
    <n v="-2"/>
    <n v="0"/>
    <x v="2"/>
    <x v="1"/>
    <m/>
    <n v="0"/>
    <n v="1"/>
    <n v="889"/>
    <n v="9"/>
    <x v="3"/>
    <n v="1"/>
    <n v="2"/>
    <n v="53"/>
    <n v="3"/>
    <n v="1"/>
    <n v="4"/>
    <n v="2326"/>
    <n v="11411"/>
    <n v="1"/>
    <n v="12"/>
    <n v="3"/>
    <n v="3"/>
    <n v="80"/>
    <n v="3"/>
    <n v="4"/>
    <n v="2"/>
    <n v="4"/>
    <n v="2"/>
    <n v="1"/>
    <n v="2"/>
  </r>
  <r>
    <s v="No"/>
    <s v="Travel_Frequently"/>
    <x v="0"/>
    <s v="Current Employees"/>
    <x v="0"/>
    <x v="3"/>
    <x v="295"/>
    <x v="295"/>
    <x v="0"/>
    <x v="0"/>
    <x v="1"/>
    <s v="No"/>
    <s v="Y"/>
    <n v="2"/>
    <n v="-2"/>
    <n v="0"/>
    <x v="19"/>
    <x v="1"/>
    <m/>
    <n v="0"/>
    <n v="1"/>
    <n v="555"/>
    <n v="26"/>
    <x v="3"/>
    <n v="1"/>
    <n v="3"/>
    <n v="77"/>
    <n v="3"/>
    <n v="4"/>
    <n v="1"/>
    <n v="13525"/>
    <n v="14864"/>
    <n v="5"/>
    <n v="14"/>
    <n v="3"/>
    <n v="4"/>
    <n v="80"/>
    <n v="1"/>
    <n v="23"/>
    <n v="4"/>
    <n v="20"/>
    <n v="4"/>
    <n v="4"/>
    <n v="8"/>
  </r>
  <r>
    <s v="Yes"/>
    <s v="Travel_Rarely"/>
    <x v="4"/>
    <s v="Ex-Employees"/>
    <x v="1"/>
    <x v="0"/>
    <x v="296"/>
    <x v="296"/>
    <x v="1"/>
    <x v="2"/>
    <x v="0"/>
    <s v="No"/>
    <s v="Y"/>
    <n v="2"/>
    <n v="-2"/>
    <n v="0"/>
    <x v="41"/>
    <x v="0"/>
    <n v="1"/>
    <n v="1"/>
    <n v="0"/>
    <n v="230"/>
    <n v="3"/>
    <x v="3"/>
    <n v="1"/>
    <n v="3"/>
    <n v="54"/>
    <n v="3"/>
    <n v="1"/>
    <n v="2"/>
    <n v="1420"/>
    <n v="25233"/>
    <n v="1"/>
    <n v="13"/>
    <n v="3"/>
    <n v="3"/>
    <n v="80"/>
    <n v="0"/>
    <n v="0"/>
    <n v="3"/>
    <n v="0"/>
    <n v="0"/>
    <n v="0"/>
    <n v="0"/>
  </r>
  <r>
    <s v="No"/>
    <s v="Travel_Rarely"/>
    <x v="0"/>
    <s v="Current Employees"/>
    <x v="0"/>
    <x v="3"/>
    <x v="297"/>
    <x v="297"/>
    <x v="1"/>
    <x v="0"/>
    <x v="1"/>
    <s v="No"/>
    <s v="Y"/>
    <n v="3"/>
    <n v="-2"/>
    <n v="0"/>
    <x v="10"/>
    <x v="1"/>
    <m/>
    <n v="0"/>
    <n v="1"/>
    <n v="1232"/>
    <n v="16"/>
    <x v="3"/>
    <n v="1"/>
    <n v="3"/>
    <n v="96"/>
    <n v="3"/>
    <n v="3"/>
    <n v="1"/>
    <n v="8020"/>
    <n v="5100"/>
    <n v="0"/>
    <n v="15"/>
    <n v="3"/>
    <n v="3"/>
    <n v="80"/>
    <n v="2"/>
    <n v="12"/>
    <n v="2"/>
    <n v="11"/>
    <n v="9"/>
    <n v="6"/>
    <n v="9"/>
  </r>
  <r>
    <s v="No"/>
    <s v="Travel_Frequently"/>
    <x v="0"/>
    <s v="Current Employees"/>
    <x v="1"/>
    <x v="0"/>
    <x v="298"/>
    <x v="298"/>
    <x v="1"/>
    <x v="2"/>
    <x v="1"/>
    <s v="No"/>
    <s v="Y"/>
    <n v="2"/>
    <n v="-2"/>
    <n v="0"/>
    <x v="9"/>
    <x v="1"/>
    <m/>
    <n v="0"/>
    <n v="1"/>
    <n v="566"/>
    <n v="18"/>
    <x v="2"/>
    <n v="1"/>
    <n v="3"/>
    <n v="81"/>
    <n v="4"/>
    <n v="1"/>
    <n v="2"/>
    <n v="3688"/>
    <n v="7122"/>
    <n v="4"/>
    <n v="18"/>
    <n v="3"/>
    <n v="4"/>
    <n v="80"/>
    <n v="2"/>
    <n v="4"/>
    <n v="3"/>
    <n v="1"/>
    <n v="0"/>
    <n v="0"/>
    <n v="0"/>
  </r>
  <r>
    <s v="No"/>
    <s v="Travel_Rarely"/>
    <x v="1"/>
    <s v="Current Employees"/>
    <x v="1"/>
    <x v="2"/>
    <x v="299"/>
    <x v="299"/>
    <x v="1"/>
    <x v="3"/>
    <x v="2"/>
    <s v="No"/>
    <s v="Y"/>
    <n v="3"/>
    <n v="-2"/>
    <n v="0"/>
    <x v="31"/>
    <x v="1"/>
    <m/>
    <n v="0"/>
    <n v="1"/>
    <n v="1302"/>
    <n v="2"/>
    <x v="3"/>
    <n v="1"/>
    <n v="4"/>
    <n v="84"/>
    <n v="1"/>
    <n v="2"/>
    <n v="3"/>
    <n v="5482"/>
    <n v="16321"/>
    <n v="5"/>
    <n v="18"/>
    <n v="3"/>
    <n v="4"/>
    <n v="80"/>
    <n v="1"/>
    <n v="13"/>
    <n v="3"/>
    <n v="4"/>
    <n v="1"/>
    <n v="1"/>
    <n v="2"/>
  </r>
  <r>
    <s v="No"/>
    <s v="Travel_Rarely"/>
    <x v="0"/>
    <s v="Current Employees"/>
    <x v="0"/>
    <x v="0"/>
    <x v="300"/>
    <x v="300"/>
    <x v="1"/>
    <x v="5"/>
    <x v="0"/>
    <s v="No"/>
    <s v="Y"/>
    <n v="2"/>
    <n v="-2"/>
    <n v="0"/>
    <x v="0"/>
    <x v="1"/>
    <m/>
    <n v="0"/>
    <n v="1"/>
    <n v="334"/>
    <n v="2"/>
    <x v="2"/>
    <n v="1"/>
    <n v="4"/>
    <n v="88"/>
    <n v="3"/>
    <n v="4"/>
    <n v="2"/>
    <n v="16015"/>
    <n v="15896"/>
    <n v="1"/>
    <n v="19"/>
    <n v="3"/>
    <n v="2"/>
    <n v="80"/>
    <n v="0"/>
    <n v="22"/>
    <n v="3"/>
    <n v="22"/>
    <n v="10"/>
    <n v="0"/>
    <n v="4"/>
  </r>
  <r>
    <s v="No"/>
    <s v="Travel_Rarely"/>
    <x v="4"/>
    <s v="Current Employees"/>
    <x v="0"/>
    <x v="2"/>
    <x v="301"/>
    <x v="301"/>
    <x v="0"/>
    <x v="6"/>
    <x v="0"/>
    <s v="No"/>
    <s v="Y"/>
    <n v="2"/>
    <n v="-2"/>
    <n v="0"/>
    <x v="41"/>
    <x v="1"/>
    <m/>
    <n v="0"/>
    <n v="1"/>
    <n v="812"/>
    <n v="10"/>
    <x v="3"/>
    <n v="1"/>
    <n v="4"/>
    <n v="69"/>
    <n v="2"/>
    <n v="1"/>
    <n v="3"/>
    <n v="1200"/>
    <n v="9724"/>
    <n v="1"/>
    <n v="12"/>
    <n v="3"/>
    <n v="1"/>
    <n v="80"/>
    <n v="0"/>
    <n v="0"/>
    <n v="3"/>
    <n v="0"/>
    <n v="0"/>
    <n v="0"/>
    <n v="0"/>
  </r>
  <r>
    <s v="No"/>
    <s v="Travel_Rarely"/>
    <x v="2"/>
    <s v="Current Employees"/>
    <x v="1"/>
    <x v="2"/>
    <x v="302"/>
    <x v="302"/>
    <x v="1"/>
    <x v="4"/>
    <x v="0"/>
    <s v="No"/>
    <s v="Y"/>
    <n v="2"/>
    <n v="-2"/>
    <n v="0"/>
    <x v="14"/>
    <x v="1"/>
    <m/>
    <n v="0"/>
    <n v="1"/>
    <n v="1476"/>
    <n v="16"/>
    <x v="0"/>
    <n v="1"/>
    <n v="2"/>
    <n v="68"/>
    <n v="4"/>
    <n v="2"/>
    <n v="3"/>
    <n v="5661"/>
    <n v="4824"/>
    <n v="0"/>
    <n v="19"/>
    <n v="3"/>
    <n v="3"/>
    <n v="80"/>
    <n v="0"/>
    <n v="9"/>
    <n v="3"/>
    <n v="8"/>
    <n v="3"/>
    <n v="0"/>
    <n v="7"/>
  </r>
  <r>
    <s v="No"/>
    <s v="Travel_Rarely"/>
    <x v="2"/>
    <s v="Current Employees"/>
    <x v="0"/>
    <x v="4"/>
    <x v="303"/>
    <x v="303"/>
    <x v="1"/>
    <x v="0"/>
    <x v="1"/>
    <s v="No"/>
    <s v="Y"/>
    <n v="3"/>
    <n v="-2"/>
    <n v="0"/>
    <x v="12"/>
    <x v="1"/>
    <m/>
    <n v="0"/>
    <n v="1"/>
    <n v="218"/>
    <n v="7"/>
    <x v="3"/>
    <n v="1"/>
    <n v="4"/>
    <n v="100"/>
    <n v="4"/>
    <n v="2"/>
    <n v="4"/>
    <n v="6929"/>
    <n v="12241"/>
    <n v="4"/>
    <n v="11"/>
    <n v="3"/>
    <n v="2"/>
    <n v="80"/>
    <n v="1"/>
    <n v="10"/>
    <n v="2"/>
    <n v="8"/>
    <n v="7"/>
    <n v="7"/>
    <n v="7"/>
  </r>
  <r>
    <s v="No"/>
    <s v="Travel_Rarely"/>
    <x v="0"/>
    <s v="Current Employees"/>
    <x v="1"/>
    <x v="2"/>
    <x v="304"/>
    <x v="304"/>
    <x v="1"/>
    <x v="4"/>
    <x v="2"/>
    <s v="No"/>
    <s v="Y"/>
    <n v="5"/>
    <n v="-2"/>
    <n v="0"/>
    <x v="22"/>
    <x v="1"/>
    <m/>
    <n v="0"/>
    <n v="1"/>
    <n v="1132"/>
    <n v="1"/>
    <x v="3"/>
    <n v="1"/>
    <n v="3"/>
    <n v="48"/>
    <n v="4"/>
    <n v="3"/>
    <n v="4"/>
    <n v="9613"/>
    <n v="10942"/>
    <n v="0"/>
    <n v="17"/>
    <n v="3"/>
    <n v="1"/>
    <n v="80"/>
    <n v="3"/>
    <n v="19"/>
    <n v="2"/>
    <n v="18"/>
    <n v="10"/>
    <n v="3"/>
    <n v="7"/>
  </r>
  <r>
    <s v="No"/>
    <s v="Non-Travel"/>
    <x v="0"/>
    <s v="Current Employees"/>
    <x v="1"/>
    <x v="0"/>
    <x v="305"/>
    <x v="305"/>
    <x v="0"/>
    <x v="2"/>
    <x v="1"/>
    <s v="No"/>
    <s v="Y"/>
    <n v="3"/>
    <n v="-2"/>
    <n v="0"/>
    <x v="9"/>
    <x v="1"/>
    <m/>
    <n v="0"/>
    <n v="1"/>
    <n v="1105"/>
    <n v="24"/>
    <x v="2"/>
    <n v="1"/>
    <n v="2"/>
    <n v="47"/>
    <n v="3"/>
    <n v="2"/>
    <n v="2"/>
    <n v="5674"/>
    <n v="6927"/>
    <n v="7"/>
    <n v="15"/>
    <n v="3"/>
    <n v="3"/>
    <n v="80"/>
    <n v="1"/>
    <n v="11"/>
    <n v="3"/>
    <n v="9"/>
    <n v="8"/>
    <n v="0"/>
    <n v="8"/>
  </r>
  <r>
    <s v="No"/>
    <s v="Travel_Rarely"/>
    <x v="2"/>
    <s v="Current Employees"/>
    <x v="0"/>
    <x v="0"/>
    <x v="306"/>
    <x v="306"/>
    <x v="1"/>
    <x v="0"/>
    <x v="1"/>
    <s v="No"/>
    <s v="Y"/>
    <n v="3"/>
    <n v="-2"/>
    <n v="0"/>
    <x v="5"/>
    <x v="1"/>
    <m/>
    <n v="0"/>
    <n v="1"/>
    <n v="906"/>
    <n v="7"/>
    <x v="3"/>
    <n v="1"/>
    <n v="4"/>
    <n v="91"/>
    <n v="2"/>
    <n v="2"/>
    <n v="2"/>
    <n v="5484"/>
    <n v="16985"/>
    <n v="1"/>
    <n v="14"/>
    <n v="3"/>
    <n v="3"/>
    <n v="80"/>
    <n v="1"/>
    <n v="13"/>
    <n v="2"/>
    <n v="13"/>
    <n v="8"/>
    <n v="4"/>
    <n v="8"/>
  </r>
  <r>
    <s v="No"/>
    <s v="Travel_Rarely"/>
    <x v="0"/>
    <s v="Current Employees"/>
    <x v="1"/>
    <x v="0"/>
    <x v="307"/>
    <x v="307"/>
    <x v="0"/>
    <x v="7"/>
    <x v="1"/>
    <s v="No"/>
    <s v="Y"/>
    <n v="2"/>
    <n v="-2"/>
    <n v="0"/>
    <x v="8"/>
    <x v="1"/>
    <m/>
    <n v="0"/>
    <n v="1"/>
    <n v="849"/>
    <n v="25"/>
    <x v="0"/>
    <n v="1"/>
    <n v="1"/>
    <n v="81"/>
    <n v="2"/>
    <n v="3"/>
    <n v="2"/>
    <n v="12061"/>
    <n v="26707"/>
    <n v="3"/>
    <n v="17"/>
    <n v="3"/>
    <n v="3"/>
    <n v="80"/>
    <n v="1"/>
    <n v="19"/>
    <n v="3"/>
    <n v="10"/>
    <n v="8"/>
    <n v="0"/>
    <n v="1"/>
  </r>
  <r>
    <s v="No"/>
    <s v="Non-Travel"/>
    <x v="3"/>
    <s v="Current Employees"/>
    <x v="1"/>
    <x v="0"/>
    <x v="308"/>
    <x v="308"/>
    <x v="1"/>
    <x v="4"/>
    <x v="2"/>
    <s v="Yes"/>
    <s v="Y"/>
    <n v="2"/>
    <n v="-2"/>
    <n v="0"/>
    <x v="34"/>
    <x v="1"/>
    <m/>
    <n v="0"/>
    <n v="1"/>
    <n v="390"/>
    <n v="1"/>
    <x v="2"/>
    <n v="1"/>
    <n v="4"/>
    <n v="32"/>
    <n v="1"/>
    <n v="2"/>
    <n v="2"/>
    <n v="5660"/>
    <n v="17056"/>
    <n v="2"/>
    <n v="13"/>
    <n v="3"/>
    <n v="4"/>
    <n v="80"/>
    <n v="1"/>
    <n v="12"/>
    <n v="3"/>
    <n v="5"/>
    <n v="3"/>
    <n v="1"/>
    <n v="2"/>
  </r>
  <r>
    <s v="No"/>
    <s v="Travel_Rarely"/>
    <x v="2"/>
    <s v="Current Employees"/>
    <x v="1"/>
    <x v="4"/>
    <x v="309"/>
    <x v="309"/>
    <x v="1"/>
    <x v="1"/>
    <x v="1"/>
    <s v="Yes"/>
    <s v="Y"/>
    <n v="4"/>
    <n v="-2"/>
    <n v="0"/>
    <x v="12"/>
    <x v="1"/>
    <m/>
    <n v="0"/>
    <n v="1"/>
    <n v="691"/>
    <n v="5"/>
    <x v="2"/>
    <n v="1"/>
    <n v="4"/>
    <n v="86"/>
    <n v="3"/>
    <n v="1"/>
    <n v="4"/>
    <n v="4821"/>
    <n v="10077"/>
    <n v="0"/>
    <n v="12"/>
    <n v="3"/>
    <n v="3"/>
    <n v="80"/>
    <n v="1"/>
    <n v="6"/>
    <n v="3"/>
    <n v="5"/>
    <n v="2"/>
    <n v="0"/>
    <n v="3"/>
  </r>
  <r>
    <s v="No"/>
    <s v="Travel_Rarely"/>
    <x v="2"/>
    <s v="Current Employees"/>
    <x v="2"/>
    <x v="5"/>
    <x v="310"/>
    <x v="310"/>
    <x v="1"/>
    <x v="8"/>
    <x v="1"/>
    <s v="No"/>
    <s v="Y"/>
    <n v="1"/>
    <n v="-2"/>
    <n v="0"/>
    <x v="12"/>
    <x v="1"/>
    <m/>
    <n v="0"/>
    <n v="1"/>
    <n v="106"/>
    <n v="2"/>
    <x v="3"/>
    <n v="1"/>
    <n v="1"/>
    <n v="62"/>
    <n v="2"/>
    <n v="2"/>
    <n v="3"/>
    <n v="6410"/>
    <n v="17822"/>
    <n v="3"/>
    <n v="12"/>
    <n v="3"/>
    <n v="4"/>
    <n v="80"/>
    <n v="0"/>
    <n v="9"/>
    <n v="3"/>
    <n v="2"/>
    <n v="2"/>
    <n v="1"/>
    <n v="0"/>
  </r>
  <r>
    <s v="No"/>
    <s v="Travel_Frequently"/>
    <x v="1"/>
    <s v="Current Employees"/>
    <x v="1"/>
    <x v="0"/>
    <x v="311"/>
    <x v="311"/>
    <x v="1"/>
    <x v="2"/>
    <x v="2"/>
    <s v="No"/>
    <s v="Y"/>
    <n v="2"/>
    <n v="-2"/>
    <n v="0"/>
    <x v="28"/>
    <x v="1"/>
    <m/>
    <n v="0"/>
    <n v="1"/>
    <n v="1249"/>
    <n v="7"/>
    <x v="3"/>
    <n v="1"/>
    <n v="1"/>
    <n v="97"/>
    <n v="3"/>
    <n v="3"/>
    <n v="2"/>
    <n v="5210"/>
    <n v="20308"/>
    <n v="1"/>
    <n v="18"/>
    <n v="3"/>
    <n v="1"/>
    <n v="80"/>
    <n v="1"/>
    <n v="24"/>
    <n v="3"/>
    <n v="24"/>
    <n v="9"/>
    <n v="9"/>
    <n v="11"/>
  </r>
  <r>
    <s v="No"/>
    <s v="Travel_Rarely"/>
    <x v="2"/>
    <s v="Current Employees"/>
    <x v="1"/>
    <x v="0"/>
    <x v="312"/>
    <x v="312"/>
    <x v="1"/>
    <x v="1"/>
    <x v="2"/>
    <s v="Yes"/>
    <s v="Y"/>
    <n v="2"/>
    <n v="-2"/>
    <n v="0"/>
    <x v="12"/>
    <x v="1"/>
    <m/>
    <n v="0"/>
    <n v="1"/>
    <n v="192"/>
    <n v="2"/>
    <x v="2"/>
    <n v="1"/>
    <n v="3"/>
    <n v="32"/>
    <n v="3"/>
    <n v="1"/>
    <n v="2"/>
    <n v="2695"/>
    <n v="7747"/>
    <n v="0"/>
    <n v="18"/>
    <n v="3"/>
    <n v="2"/>
    <n v="80"/>
    <n v="1"/>
    <n v="3"/>
    <n v="1"/>
    <n v="2"/>
    <n v="2"/>
    <n v="2"/>
    <n v="2"/>
  </r>
  <r>
    <s v="No"/>
    <s v="Travel_Frequently"/>
    <x v="2"/>
    <s v="Current Employees"/>
    <x v="1"/>
    <x v="0"/>
    <x v="313"/>
    <x v="313"/>
    <x v="0"/>
    <x v="5"/>
    <x v="1"/>
    <s v="No"/>
    <s v="Y"/>
    <n v="2"/>
    <n v="-2"/>
    <n v="0"/>
    <x v="3"/>
    <x v="1"/>
    <m/>
    <n v="0"/>
    <n v="1"/>
    <n v="553"/>
    <n v="5"/>
    <x v="2"/>
    <n v="1"/>
    <n v="4"/>
    <n v="74"/>
    <n v="3"/>
    <n v="3"/>
    <n v="2"/>
    <n v="11878"/>
    <n v="23364"/>
    <n v="6"/>
    <n v="11"/>
    <n v="3"/>
    <n v="2"/>
    <n v="80"/>
    <n v="2"/>
    <n v="12"/>
    <n v="3"/>
    <n v="10"/>
    <n v="6"/>
    <n v="8"/>
    <n v="8"/>
  </r>
  <r>
    <s v="No"/>
    <s v="Travel_Rarely"/>
    <x v="0"/>
    <s v="Current Employees"/>
    <x v="1"/>
    <x v="2"/>
    <x v="314"/>
    <x v="314"/>
    <x v="1"/>
    <x v="5"/>
    <x v="1"/>
    <s v="Yes"/>
    <s v="Y"/>
    <n v="3"/>
    <n v="-2"/>
    <n v="0"/>
    <x v="22"/>
    <x v="1"/>
    <m/>
    <n v="0"/>
    <n v="1"/>
    <n v="117"/>
    <n v="10"/>
    <x v="1"/>
    <n v="1"/>
    <n v="3"/>
    <n v="99"/>
    <n v="3"/>
    <n v="4"/>
    <n v="3"/>
    <n v="17068"/>
    <n v="5355"/>
    <n v="1"/>
    <n v="14"/>
    <n v="3"/>
    <n v="4"/>
    <n v="80"/>
    <n v="0"/>
    <n v="21"/>
    <n v="3"/>
    <n v="21"/>
    <n v="9"/>
    <n v="11"/>
    <n v="10"/>
  </r>
  <r>
    <s v="No"/>
    <s v="Travel_Frequently"/>
    <x v="0"/>
    <s v="Current Employees"/>
    <x v="1"/>
    <x v="0"/>
    <x v="315"/>
    <x v="315"/>
    <x v="0"/>
    <x v="2"/>
    <x v="0"/>
    <s v="No"/>
    <s v="Y"/>
    <n v="5"/>
    <n v="-2"/>
    <n v="0"/>
    <x v="23"/>
    <x v="1"/>
    <m/>
    <n v="0"/>
    <n v="1"/>
    <n v="185"/>
    <n v="10"/>
    <x v="2"/>
    <n v="1"/>
    <n v="3"/>
    <n v="33"/>
    <n v="3"/>
    <n v="1"/>
    <n v="2"/>
    <n v="2455"/>
    <n v="10675"/>
    <n v="0"/>
    <n v="19"/>
    <n v="3"/>
    <n v="1"/>
    <n v="80"/>
    <n v="0"/>
    <n v="9"/>
    <n v="3"/>
    <n v="8"/>
    <n v="7"/>
    <n v="1"/>
    <n v="7"/>
  </r>
  <r>
    <s v="No"/>
    <s v="Travel_Rarely"/>
    <x v="1"/>
    <s v="Current Employees"/>
    <x v="1"/>
    <x v="4"/>
    <x v="316"/>
    <x v="316"/>
    <x v="0"/>
    <x v="4"/>
    <x v="0"/>
    <s v="Yes"/>
    <s v="Y"/>
    <n v="2"/>
    <n v="-2"/>
    <n v="0"/>
    <x v="1"/>
    <x v="1"/>
    <m/>
    <n v="0"/>
    <n v="1"/>
    <n v="1091"/>
    <n v="1"/>
    <x v="0"/>
    <n v="1"/>
    <n v="4"/>
    <n v="90"/>
    <n v="2"/>
    <n v="4"/>
    <n v="4"/>
    <n v="13964"/>
    <n v="17810"/>
    <n v="7"/>
    <n v="12"/>
    <n v="3"/>
    <n v="4"/>
    <n v="80"/>
    <n v="0"/>
    <n v="25"/>
    <n v="3"/>
    <n v="7"/>
    <n v="1"/>
    <n v="0"/>
    <n v="7"/>
  </r>
  <r>
    <s v="Yes"/>
    <s v="Travel_Rarely"/>
    <x v="1"/>
    <s v="Ex-Employees"/>
    <x v="1"/>
    <x v="2"/>
    <x v="317"/>
    <x v="317"/>
    <x v="1"/>
    <x v="1"/>
    <x v="1"/>
    <s v="No"/>
    <s v="Y"/>
    <n v="3"/>
    <n v="-2"/>
    <n v="0"/>
    <x v="39"/>
    <x v="0"/>
    <n v="1"/>
    <n v="1"/>
    <n v="0"/>
    <n v="723"/>
    <n v="8"/>
    <x v="2"/>
    <n v="1"/>
    <n v="3"/>
    <n v="85"/>
    <n v="2"/>
    <n v="2"/>
    <n v="3"/>
    <n v="4941"/>
    <n v="17747"/>
    <n v="2"/>
    <n v="15"/>
    <n v="3"/>
    <n v="1"/>
    <n v="80"/>
    <n v="0"/>
    <n v="11"/>
    <n v="2"/>
    <n v="8"/>
    <n v="2"/>
    <n v="7"/>
    <n v="7"/>
  </r>
  <r>
    <s v="No"/>
    <s v="Travel_Rarely"/>
    <x v="2"/>
    <s v="Current Employees"/>
    <x v="1"/>
    <x v="0"/>
    <x v="318"/>
    <x v="318"/>
    <x v="0"/>
    <x v="1"/>
    <x v="0"/>
    <s v="Yes"/>
    <s v="Y"/>
    <n v="2"/>
    <n v="-2"/>
    <n v="0"/>
    <x v="4"/>
    <x v="1"/>
    <m/>
    <n v="0"/>
    <n v="1"/>
    <n v="1220"/>
    <n v="5"/>
    <x v="3"/>
    <n v="1"/>
    <n v="3"/>
    <n v="85"/>
    <n v="3"/>
    <n v="1"/>
    <n v="2"/>
    <n v="2478"/>
    <n v="20938"/>
    <n v="1"/>
    <n v="12"/>
    <n v="3"/>
    <n v="2"/>
    <n v="80"/>
    <n v="0"/>
    <n v="4"/>
    <n v="2"/>
    <n v="4"/>
    <n v="3"/>
    <n v="1"/>
    <n v="2"/>
  </r>
  <r>
    <s v="No"/>
    <s v="Travel_Rarely"/>
    <x v="2"/>
    <s v="Current Employees"/>
    <x v="0"/>
    <x v="4"/>
    <x v="319"/>
    <x v="319"/>
    <x v="0"/>
    <x v="0"/>
    <x v="1"/>
    <s v="Yes"/>
    <s v="Y"/>
    <n v="2"/>
    <n v="-2"/>
    <n v="0"/>
    <x v="5"/>
    <x v="1"/>
    <m/>
    <n v="0"/>
    <n v="1"/>
    <n v="588"/>
    <n v="8"/>
    <x v="0"/>
    <n v="1"/>
    <n v="4"/>
    <n v="65"/>
    <n v="2"/>
    <n v="2"/>
    <n v="4"/>
    <n v="5228"/>
    <n v="24624"/>
    <n v="1"/>
    <n v="11"/>
    <n v="3"/>
    <n v="4"/>
    <n v="80"/>
    <n v="0"/>
    <n v="13"/>
    <n v="3"/>
    <n v="13"/>
    <n v="12"/>
    <n v="11"/>
    <n v="9"/>
  </r>
  <r>
    <s v="No"/>
    <s v="Travel_Rarely"/>
    <x v="2"/>
    <s v="Current Employees"/>
    <x v="0"/>
    <x v="0"/>
    <x v="320"/>
    <x v="320"/>
    <x v="1"/>
    <x v="0"/>
    <x v="0"/>
    <s v="Yes"/>
    <s v="Y"/>
    <n v="3"/>
    <n v="-2"/>
    <n v="0"/>
    <x v="4"/>
    <x v="1"/>
    <m/>
    <n v="0"/>
    <n v="1"/>
    <n v="1377"/>
    <n v="2"/>
    <x v="3"/>
    <n v="1"/>
    <n v="4"/>
    <n v="74"/>
    <n v="3"/>
    <n v="2"/>
    <n v="2"/>
    <n v="4478"/>
    <n v="5242"/>
    <n v="1"/>
    <n v="11"/>
    <n v="3"/>
    <n v="1"/>
    <n v="80"/>
    <n v="0"/>
    <n v="5"/>
    <n v="3"/>
    <n v="5"/>
    <n v="4"/>
    <n v="0"/>
    <n v="4"/>
  </r>
  <r>
    <s v="No"/>
    <s v="Travel_Rarely"/>
    <x v="2"/>
    <s v="Current Employees"/>
    <x v="0"/>
    <x v="3"/>
    <x v="321"/>
    <x v="321"/>
    <x v="1"/>
    <x v="0"/>
    <x v="2"/>
    <s v="No"/>
    <s v="Y"/>
    <n v="3"/>
    <n v="-2"/>
    <n v="0"/>
    <x v="12"/>
    <x v="1"/>
    <m/>
    <n v="0"/>
    <n v="1"/>
    <n v="691"/>
    <n v="7"/>
    <x v="3"/>
    <n v="1"/>
    <n v="4"/>
    <n v="73"/>
    <n v="3"/>
    <n v="2"/>
    <n v="1"/>
    <n v="7547"/>
    <n v="7143"/>
    <n v="4"/>
    <n v="12"/>
    <n v="3"/>
    <n v="4"/>
    <n v="80"/>
    <n v="3"/>
    <n v="13"/>
    <n v="3"/>
    <n v="7"/>
    <n v="7"/>
    <n v="1"/>
    <n v="7"/>
  </r>
  <r>
    <s v="No"/>
    <s v="Travel_Rarely"/>
    <x v="2"/>
    <s v="Current Employees"/>
    <x v="1"/>
    <x v="2"/>
    <x v="322"/>
    <x v="322"/>
    <x v="0"/>
    <x v="1"/>
    <x v="0"/>
    <s v="No"/>
    <s v="Y"/>
    <n v="0"/>
    <n v="-2"/>
    <n v="0"/>
    <x v="5"/>
    <x v="1"/>
    <m/>
    <n v="0"/>
    <n v="1"/>
    <n v="1018"/>
    <n v="2"/>
    <x v="2"/>
    <n v="1"/>
    <n v="1"/>
    <n v="74"/>
    <n v="4"/>
    <n v="2"/>
    <n v="4"/>
    <n v="5055"/>
    <n v="10557"/>
    <n v="7"/>
    <n v="16"/>
    <n v="3"/>
    <n v="3"/>
    <n v="80"/>
    <n v="0"/>
    <n v="10"/>
    <n v="2"/>
    <n v="7"/>
    <n v="7"/>
    <n v="0"/>
    <n v="7"/>
  </r>
  <r>
    <s v="Yes"/>
    <s v="Travel_Rarely"/>
    <x v="2"/>
    <s v="Ex-Employees"/>
    <x v="1"/>
    <x v="2"/>
    <x v="323"/>
    <x v="323"/>
    <x v="1"/>
    <x v="1"/>
    <x v="1"/>
    <s v="Yes"/>
    <s v="Y"/>
    <n v="4"/>
    <n v="-2"/>
    <n v="0"/>
    <x v="14"/>
    <x v="0"/>
    <n v="1"/>
    <n v="1"/>
    <n v="0"/>
    <n v="1157"/>
    <n v="2"/>
    <x v="2"/>
    <n v="1"/>
    <n v="1"/>
    <n v="84"/>
    <n v="1"/>
    <n v="1"/>
    <n v="4"/>
    <n v="3464"/>
    <n v="24737"/>
    <n v="5"/>
    <n v="13"/>
    <n v="3"/>
    <n v="4"/>
    <n v="80"/>
    <n v="0"/>
    <n v="5"/>
    <n v="2"/>
    <n v="3"/>
    <n v="2"/>
    <n v="2"/>
    <n v="2"/>
  </r>
  <r>
    <s v="No"/>
    <s v="Travel_Rarely"/>
    <x v="2"/>
    <s v="Current Employees"/>
    <x v="1"/>
    <x v="2"/>
    <x v="324"/>
    <x v="324"/>
    <x v="0"/>
    <x v="1"/>
    <x v="1"/>
    <s v="No"/>
    <s v="Y"/>
    <n v="2"/>
    <n v="-2"/>
    <n v="0"/>
    <x v="7"/>
    <x v="1"/>
    <m/>
    <n v="0"/>
    <n v="1"/>
    <n v="1275"/>
    <n v="28"/>
    <x v="0"/>
    <n v="1"/>
    <n v="4"/>
    <n v="64"/>
    <n v="3"/>
    <n v="2"/>
    <n v="4"/>
    <n v="5775"/>
    <n v="11934"/>
    <n v="1"/>
    <n v="13"/>
    <n v="3"/>
    <n v="4"/>
    <n v="80"/>
    <n v="2"/>
    <n v="11"/>
    <n v="3"/>
    <n v="10"/>
    <n v="8"/>
    <n v="1"/>
    <n v="9"/>
  </r>
  <r>
    <s v="No"/>
    <s v="Travel_Frequently"/>
    <x v="2"/>
    <s v="Current Employees"/>
    <x v="1"/>
    <x v="0"/>
    <x v="325"/>
    <x v="325"/>
    <x v="0"/>
    <x v="3"/>
    <x v="1"/>
    <s v="No"/>
    <s v="Y"/>
    <n v="2"/>
    <n v="-2"/>
    <n v="0"/>
    <x v="12"/>
    <x v="1"/>
    <m/>
    <n v="0"/>
    <n v="1"/>
    <n v="798"/>
    <n v="7"/>
    <x v="0"/>
    <n v="1"/>
    <n v="3"/>
    <n v="48"/>
    <n v="2"/>
    <n v="3"/>
    <n v="2"/>
    <n v="8943"/>
    <n v="14034"/>
    <n v="1"/>
    <n v="24"/>
    <n v="4"/>
    <n v="1"/>
    <n v="80"/>
    <n v="1"/>
    <n v="10"/>
    <n v="3"/>
    <n v="10"/>
    <n v="9"/>
    <n v="8"/>
    <n v="9"/>
  </r>
  <r>
    <s v="No"/>
    <s v="Travel_Frequently"/>
    <x v="0"/>
    <s v="Current Employees"/>
    <x v="1"/>
    <x v="2"/>
    <x v="326"/>
    <x v="326"/>
    <x v="1"/>
    <x v="5"/>
    <x v="1"/>
    <s v="No"/>
    <s v="Y"/>
    <n v="2"/>
    <n v="-2"/>
    <n v="0"/>
    <x v="22"/>
    <x v="1"/>
    <m/>
    <n v="0"/>
    <n v="1"/>
    <n v="672"/>
    <n v="7"/>
    <x v="0"/>
    <n v="1"/>
    <n v="3"/>
    <n v="54"/>
    <n v="2"/>
    <n v="5"/>
    <n v="4"/>
    <n v="19272"/>
    <n v="21141"/>
    <n v="1"/>
    <n v="15"/>
    <n v="3"/>
    <n v="1"/>
    <n v="80"/>
    <n v="1"/>
    <n v="21"/>
    <n v="3"/>
    <n v="21"/>
    <n v="9"/>
    <n v="13"/>
    <n v="3"/>
  </r>
  <r>
    <s v="Yes"/>
    <s v="Travel_Rarely"/>
    <x v="0"/>
    <s v="Ex-Employees"/>
    <x v="0"/>
    <x v="2"/>
    <x v="327"/>
    <x v="327"/>
    <x v="0"/>
    <x v="0"/>
    <x v="1"/>
    <s v="Yes"/>
    <s v="Y"/>
    <n v="3"/>
    <n v="-2"/>
    <n v="0"/>
    <x v="22"/>
    <x v="0"/>
    <n v="1"/>
    <n v="1"/>
    <n v="0"/>
    <n v="1162"/>
    <n v="3"/>
    <x v="0"/>
    <n v="1"/>
    <n v="4"/>
    <n v="41"/>
    <n v="3"/>
    <n v="2"/>
    <n v="3"/>
    <n v="5238"/>
    <n v="17778"/>
    <n v="4"/>
    <n v="18"/>
    <n v="3"/>
    <n v="1"/>
    <n v="80"/>
    <n v="0"/>
    <n v="12"/>
    <n v="2"/>
    <n v="1"/>
    <n v="0"/>
    <n v="0"/>
    <n v="0"/>
  </r>
  <r>
    <s v="No"/>
    <s v="Travel_Frequently"/>
    <x v="2"/>
    <s v="Current Employees"/>
    <x v="0"/>
    <x v="3"/>
    <x v="328"/>
    <x v="328"/>
    <x v="1"/>
    <x v="0"/>
    <x v="0"/>
    <s v="No"/>
    <s v="Y"/>
    <n v="6"/>
    <n v="-2"/>
    <n v="0"/>
    <x v="3"/>
    <x v="1"/>
    <m/>
    <n v="0"/>
    <n v="1"/>
    <n v="508"/>
    <n v="10"/>
    <x v="3"/>
    <n v="1"/>
    <n v="2"/>
    <n v="46"/>
    <n v="2"/>
    <n v="2"/>
    <n v="1"/>
    <n v="4682"/>
    <n v="4317"/>
    <n v="3"/>
    <n v="14"/>
    <n v="3"/>
    <n v="3"/>
    <n v="80"/>
    <n v="0"/>
    <n v="9"/>
    <n v="2"/>
    <n v="7"/>
    <n v="7"/>
    <n v="0"/>
    <n v="1"/>
  </r>
  <r>
    <s v="No"/>
    <s v="Travel_Rarely"/>
    <x v="1"/>
    <s v="Current Employees"/>
    <x v="1"/>
    <x v="0"/>
    <x v="329"/>
    <x v="329"/>
    <x v="1"/>
    <x v="7"/>
    <x v="1"/>
    <s v="No"/>
    <s v="Y"/>
    <n v="2"/>
    <n v="-2"/>
    <n v="0"/>
    <x v="40"/>
    <x v="1"/>
    <m/>
    <n v="0"/>
    <n v="1"/>
    <n v="1482"/>
    <n v="5"/>
    <x v="4"/>
    <n v="1"/>
    <n v="4"/>
    <n v="42"/>
    <n v="3"/>
    <n v="5"/>
    <n v="2"/>
    <n v="18300"/>
    <n v="16375"/>
    <n v="4"/>
    <n v="11"/>
    <n v="3"/>
    <n v="2"/>
    <n v="80"/>
    <n v="1"/>
    <n v="21"/>
    <n v="3"/>
    <n v="3"/>
    <n v="2"/>
    <n v="1"/>
    <n v="1"/>
  </r>
  <r>
    <s v="No"/>
    <s v="Travel_Frequently"/>
    <x v="0"/>
    <s v="Current Employees"/>
    <x v="1"/>
    <x v="0"/>
    <x v="330"/>
    <x v="330"/>
    <x v="0"/>
    <x v="2"/>
    <x v="2"/>
    <s v="No"/>
    <s v="Y"/>
    <n v="3"/>
    <n v="-2"/>
    <n v="0"/>
    <x v="23"/>
    <x v="1"/>
    <m/>
    <n v="0"/>
    <n v="1"/>
    <n v="559"/>
    <n v="10"/>
    <x v="2"/>
    <n v="1"/>
    <n v="3"/>
    <n v="82"/>
    <n v="2"/>
    <n v="2"/>
    <n v="2"/>
    <n v="5257"/>
    <n v="6227"/>
    <n v="1"/>
    <n v="11"/>
    <n v="3"/>
    <n v="2"/>
    <n v="80"/>
    <n v="1"/>
    <n v="9"/>
    <n v="4"/>
    <n v="9"/>
    <n v="7"/>
    <n v="0"/>
    <n v="0"/>
  </r>
  <r>
    <s v="No"/>
    <s v="Non-Travel"/>
    <x v="2"/>
    <s v="Current Employees"/>
    <x v="0"/>
    <x v="3"/>
    <x v="331"/>
    <x v="331"/>
    <x v="1"/>
    <x v="0"/>
    <x v="1"/>
    <s v="Yes"/>
    <s v="Y"/>
    <n v="0"/>
    <n v="-2"/>
    <n v="0"/>
    <x v="4"/>
    <x v="1"/>
    <m/>
    <n v="0"/>
    <n v="1"/>
    <n v="210"/>
    <n v="1"/>
    <x v="1"/>
    <n v="1"/>
    <n v="3"/>
    <n v="73"/>
    <n v="3"/>
    <n v="2"/>
    <n v="1"/>
    <n v="6349"/>
    <n v="22107"/>
    <n v="0"/>
    <n v="13"/>
    <n v="3"/>
    <n v="4"/>
    <n v="80"/>
    <n v="1"/>
    <n v="6"/>
    <n v="3"/>
    <n v="5"/>
    <n v="4"/>
    <n v="1"/>
    <n v="4"/>
  </r>
  <r>
    <s v="No"/>
    <s v="Travel_Frequently"/>
    <x v="1"/>
    <s v="Current Employees"/>
    <x v="1"/>
    <x v="0"/>
    <x v="332"/>
    <x v="332"/>
    <x v="0"/>
    <x v="1"/>
    <x v="0"/>
    <s v="No"/>
    <s v="Y"/>
    <n v="4"/>
    <n v="-2"/>
    <n v="0"/>
    <x v="33"/>
    <x v="1"/>
    <m/>
    <n v="0"/>
    <n v="1"/>
    <n v="928"/>
    <n v="20"/>
    <x v="2"/>
    <n v="1"/>
    <n v="4"/>
    <n v="31"/>
    <n v="3"/>
    <n v="2"/>
    <n v="2"/>
    <n v="4869"/>
    <n v="16885"/>
    <n v="3"/>
    <n v="12"/>
    <n v="3"/>
    <n v="4"/>
    <n v="80"/>
    <n v="0"/>
    <n v="20"/>
    <n v="2"/>
    <n v="4"/>
    <n v="3"/>
    <n v="0"/>
    <n v="3"/>
  </r>
  <r>
    <s v="No"/>
    <s v="Travel_Rarely"/>
    <x v="0"/>
    <s v="Current Employees"/>
    <x v="1"/>
    <x v="0"/>
    <x v="333"/>
    <x v="333"/>
    <x v="0"/>
    <x v="4"/>
    <x v="1"/>
    <s v="No"/>
    <s v="Y"/>
    <n v="1"/>
    <n v="-2"/>
    <n v="0"/>
    <x v="23"/>
    <x v="1"/>
    <m/>
    <n v="0"/>
    <n v="1"/>
    <n v="1001"/>
    <n v="7"/>
    <x v="3"/>
    <n v="1"/>
    <n v="3"/>
    <n v="43"/>
    <n v="3"/>
    <n v="3"/>
    <n v="2"/>
    <n v="9985"/>
    <n v="9262"/>
    <n v="8"/>
    <n v="16"/>
    <n v="3"/>
    <n v="1"/>
    <n v="80"/>
    <n v="1"/>
    <n v="10"/>
    <n v="2"/>
    <n v="1"/>
    <n v="0"/>
    <n v="0"/>
    <n v="0"/>
  </r>
  <r>
    <s v="No"/>
    <s v="Travel_Rarely"/>
    <x v="1"/>
    <s v="Current Employees"/>
    <x v="1"/>
    <x v="1"/>
    <x v="334"/>
    <x v="334"/>
    <x v="1"/>
    <x v="1"/>
    <x v="1"/>
    <s v="No"/>
    <s v="Y"/>
    <n v="3"/>
    <n v="-2"/>
    <n v="0"/>
    <x v="28"/>
    <x v="1"/>
    <m/>
    <n v="0"/>
    <n v="1"/>
    <n v="549"/>
    <n v="8"/>
    <x v="2"/>
    <n v="1"/>
    <n v="4"/>
    <n v="75"/>
    <n v="3"/>
    <n v="2"/>
    <n v="4"/>
    <n v="3697"/>
    <n v="9278"/>
    <n v="9"/>
    <n v="14"/>
    <n v="3"/>
    <n v="1"/>
    <n v="80"/>
    <n v="2"/>
    <n v="12"/>
    <n v="3"/>
    <n v="10"/>
    <n v="9"/>
    <n v="9"/>
    <n v="8"/>
  </r>
  <r>
    <s v="No"/>
    <s v="Travel_Rarely"/>
    <x v="0"/>
    <s v="Current Employees"/>
    <x v="0"/>
    <x v="2"/>
    <x v="335"/>
    <x v="335"/>
    <x v="1"/>
    <x v="0"/>
    <x v="1"/>
    <s v="Yes"/>
    <s v="Y"/>
    <n v="2"/>
    <n v="-2"/>
    <n v="0"/>
    <x v="32"/>
    <x v="1"/>
    <m/>
    <n v="0"/>
    <n v="1"/>
    <n v="1124"/>
    <n v="1"/>
    <x v="0"/>
    <n v="1"/>
    <n v="2"/>
    <n v="57"/>
    <n v="1"/>
    <n v="2"/>
    <n v="4"/>
    <n v="7457"/>
    <n v="13273"/>
    <n v="2"/>
    <n v="22"/>
    <n v="4"/>
    <n v="3"/>
    <n v="80"/>
    <n v="3"/>
    <n v="6"/>
    <n v="2"/>
    <n v="4"/>
    <n v="3"/>
    <n v="0"/>
    <n v="2"/>
  </r>
  <r>
    <s v="Yes"/>
    <s v="Travel_Rarely"/>
    <x v="2"/>
    <s v="Ex-Employees"/>
    <x v="1"/>
    <x v="1"/>
    <x v="336"/>
    <x v="336"/>
    <x v="1"/>
    <x v="2"/>
    <x v="1"/>
    <s v="Yes"/>
    <s v="Y"/>
    <n v="4"/>
    <n v="-2"/>
    <n v="0"/>
    <x v="11"/>
    <x v="0"/>
    <n v="1"/>
    <n v="1"/>
    <n v="0"/>
    <n v="318"/>
    <n v="8"/>
    <x v="2"/>
    <n v="1"/>
    <n v="2"/>
    <n v="77"/>
    <n v="1"/>
    <n v="1"/>
    <n v="3"/>
    <n v="2119"/>
    <n v="4759"/>
    <n v="1"/>
    <n v="11"/>
    <n v="3"/>
    <n v="4"/>
    <n v="80"/>
    <n v="0"/>
    <n v="7"/>
    <n v="2"/>
    <n v="7"/>
    <n v="7"/>
    <n v="0"/>
    <n v="7"/>
  </r>
  <r>
    <s v="No"/>
    <s v="Travel_Rarely"/>
    <x v="2"/>
    <s v="Current Employees"/>
    <x v="1"/>
    <x v="1"/>
    <x v="337"/>
    <x v="337"/>
    <x v="1"/>
    <x v="2"/>
    <x v="0"/>
    <s v="No"/>
    <s v="Y"/>
    <n v="2"/>
    <n v="-2"/>
    <n v="0"/>
    <x v="11"/>
    <x v="1"/>
    <m/>
    <n v="0"/>
    <n v="1"/>
    <n v="738"/>
    <n v="9"/>
    <x v="4"/>
    <n v="1"/>
    <n v="2"/>
    <n v="30"/>
    <n v="2"/>
    <n v="1"/>
    <n v="4"/>
    <n v="3983"/>
    <n v="7621"/>
    <n v="0"/>
    <n v="17"/>
    <n v="3"/>
    <n v="3"/>
    <n v="80"/>
    <n v="0"/>
    <n v="4"/>
    <n v="3"/>
    <n v="3"/>
    <n v="2"/>
    <n v="2"/>
    <n v="2"/>
  </r>
  <r>
    <s v="No"/>
    <s v="Travel_Rarely"/>
    <x v="2"/>
    <s v="Current Employees"/>
    <x v="0"/>
    <x v="3"/>
    <x v="338"/>
    <x v="338"/>
    <x v="0"/>
    <x v="0"/>
    <x v="2"/>
    <s v="No"/>
    <s v="Y"/>
    <n v="2"/>
    <n v="-2"/>
    <n v="0"/>
    <x v="7"/>
    <x v="1"/>
    <m/>
    <n v="0"/>
    <n v="1"/>
    <n v="570"/>
    <n v="5"/>
    <x v="3"/>
    <n v="1"/>
    <n v="4"/>
    <n v="30"/>
    <n v="2"/>
    <n v="2"/>
    <n v="1"/>
    <n v="6118"/>
    <n v="5431"/>
    <n v="1"/>
    <n v="13"/>
    <n v="3"/>
    <n v="3"/>
    <n v="80"/>
    <n v="3"/>
    <n v="10"/>
    <n v="3"/>
    <n v="10"/>
    <n v="9"/>
    <n v="1"/>
    <n v="2"/>
  </r>
  <r>
    <s v="No"/>
    <s v="Travel_Rarely"/>
    <x v="2"/>
    <s v="Current Employees"/>
    <x v="0"/>
    <x v="3"/>
    <x v="339"/>
    <x v="339"/>
    <x v="0"/>
    <x v="0"/>
    <x v="1"/>
    <s v="No"/>
    <s v="Y"/>
    <n v="3"/>
    <n v="-2"/>
    <n v="0"/>
    <x v="4"/>
    <x v="1"/>
    <m/>
    <n v="0"/>
    <n v="1"/>
    <n v="1130"/>
    <n v="8"/>
    <x v="2"/>
    <n v="1"/>
    <n v="2"/>
    <n v="56"/>
    <n v="3"/>
    <n v="2"/>
    <n v="1"/>
    <n v="6214"/>
    <n v="3415"/>
    <n v="1"/>
    <n v="18"/>
    <n v="3"/>
    <n v="1"/>
    <n v="80"/>
    <n v="1"/>
    <n v="8"/>
    <n v="3"/>
    <n v="8"/>
    <n v="7"/>
    <n v="0"/>
    <n v="7"/>
  </r>
  <r>
    <s v="No"/>
    <s v="Travel_Rarely"/>
    <x v="0"/>
    <s v="Current Employees"/>
    <x v="1"/>
    <x v="2"/>
    <x v="340"/>
    <x v="340"/>
    <x v="1"/>
    <x v="3"/>
    <x v="2"/>
    <s v="No"/>
    <s v="Y"/>
    <n v="2"/>
    <n v="-2"/>
    <n v="0"/>
    <x v="2"/>
    <x v="1"/>
    <m/>
    <n v="0"/>
    <n v="1"/>
    <n v="1192"/>
    <n v="5"/>
    <x v="0"/>
    <n v="1"/>
    <n v="4"/>
    <n v="61"/>
    <n v="3"/>
    <n v="2"/>
    <n v="4"/>
    <n v="6347"/>
    <n v="23177"/>
    <n v="7"/>
    <n v="16"/>
    <n v="3"/>
    <n v="3"/>
    <n v="80"/>
    <n v="2"/>
    <n v="8"/>
    <n v="2"/>
    <n v="6"/>
    <n v="2"/>
    <n v="0"/>
    <n v="4"/>
  </r>
  <r>
    <s v="No"/>
    <s v="Travel_Rarely"/>
    <x v="0"/>
    <s v="Current Employees"/>
    <x v="1"/>
    <x v="0"/>
    <x v="341"/>
    <x v="341"/>
    <x v="1"/>
    <x v="7"/>
    <x v="2"/>
    <s v="Yes"/>
    <s v="Y"/>
    <n v="3"/>
    <n v="-2"/>
    <n v="0"/>
    <x v="8"/>
    <x v="1"/>
    <m/>
    <n v="0"/>
    <n v="1"/>
    <n v="343"/>
    <n v="15"/>
    <x v="0"/>
    <n v="1"/>
    <n v="3"/>
    <n v="92"/>
    <n v="2"/>
    <n v="3"/>
    <n v="2"/>
    <n v="11510"/>
    <n v="15682"/>
    <n v="0"/>
    <n v="14"/>
    <n v="3"/>
    <n v="2"/>
    <n v="80"/>
    <n v="1"/>
    <n v="12"/>
    <n v="3"/>
    <n v="11"/>
    <n v="10"/>
    <n v="2"/>
    <n v="9"/>
  </r>
  <r>
    <s v="No"/>
    <s v="Travel_Rarely"/>
    <x v="2"/>
    <s v="Current Employees"/>
    <x v="1"/>
    <x v="2"/>
    <x v="342"/>
    <x v="342"/>
    <x v="0"/>
    <x v="3"/>
    <x v="0"/>
    <s v="Yes"/>
    <s v="Y"/>
    <n v="2"/>
    <n v="-2"/>
    <n v="0"/>
    <x v="12"/>
    <x v="1"/>
    <m/>
    <n v="0"/>
    <n v="1"/>
    <n v="1232"/>
    <n v="7"/>
    <x v="2"/>
    <n v="1"/>
    <n v="3"/>
    <n v="39"/>
    <n v="3"/>
    <n v="3"/>
    <n v="4"/>
    <n v="7143"/>
    <n v="25713"/>
    <n v="1"/>
    <n v="14"/>
    <n v="3"/>
    <n v="3"/>
    <n v="80"/>
    <n v="0"/>
    <n v="11"/>
    <n v="2"/>
    <n v="11"/>
    <n v="9"/>
    <n v="4"/>
    <n v="10"/>
  </r>
  <r>
    <s v="No"/>
    <s v="Travel_Rarely"/>
    <x v="2"/>
    <s v="Current Employees"/>
    <x v="0"/>
    <x v="3"/>
    <x v="343"/>
    <x v="343"/>
    <x v="0"/>
    <x v="0"/>
    <x v="2"/>
    <s v="Yes"/>
    <s v="Y"/>
    <n v="2"/>
    <n v="-2"/>
    <n v="0"/>
    <x v="11"/>
    <x v="1"/>
    <m/>
    <n v="0"/>
    <n v="1"/>
    <n v="144"/>
    <n v="10"/>
    <x v="1"/>
    <n v="1"/>
    <n v="4"/>
    <n v="39"/>
    <n v="2"/>
    <n v="2"/>
    <n v="1"/>
    <n v="8268"/>
    <n v="11866"/>
    <n v="1"/>
    <n v="14"/>
    <n v="3"/>
    <n v="1"/>
    <n v="80"/>
    <n v="2"/>
    <n v="7"/>
    <n v="3"/>
    <n v="7"/>
    <n v="7"/>
    <n v="1"/>
    <n v="7"/>
  </r>
  <r>
    <s v="No"/>
    <s v="Travel_Rarely"/>
    <x v="0"/>
    <s v="Current Employees"/>
    <x v="1"/>
    <x v="4"/>
    <x v="344"/>
    <x v="344"/>
    <x v="1"/>
    <x v="3"/>
    <x v="0"/>
    <s v="No"/>
    <s v="Y"/>
    <n v="5"/>
    <n v="-2"/>
    <n v="0"/>
    <x v="10"/>
    <x v="1"/>
    <m/>
    <n v="0"/>
    <n v="1"/>
    <n v="1296"/>
    <n v="5"/>
    <x v="2"/>
    <n v="1"/>
    <n v="4"/>
    <n v="62"/>
    <n v="3"/>
    <n v="3"/>
    <n v="4"/>
    <n v="8095"/>
    <n v="18264"/>
    <n v="0"/>
    <n v="13"/>
    <n v="3"/>
    <n v="4"/>
    <n v="80"/>
    <n v="0"/>
    <n v="17"/>
    <n v="3"/>
    <n v="16"/>
    <n v="6"/>
    <n v="0"/>
    <n v="13"/>
  </r>
  <r>
    <s v="No"/>
    <s v="Travel_Rarely"/>
    <x v="4"/>
    <s v="Current Employees"/>
    <x v="1"/>
    <x v="0"/>
    <x v="345"/>
    <x v="345"/>
    <x v="1"/>
    <x v="1"/>
    <x v="2"/>
    <s v="No"/>
    <s v="Y"/>
    <n v="2"/>
    <n v="-2"/>
    <n v="0"/>
    <x v="30"/>
    <x v="1"/>
    <m/>
    <n v="0"/>
    <n v="1"/>
    <n v="1309"/>
    <n v="26"/>
    <x v="1"/>
    <n v="1"/>
    <n v="3"/>
    <n v="83"/>
    <n v="3"/>
    <n v="1"/>
    <n v="2"/>
    <n v="2904"/>
    <n v="16092"/>
    <n v="1"/>
    <n v="12"/>
    <n v="3"/>
    <n v="3"/>
    <n v="80"/>
    <n v="2"/>
    <n v="4"/>
    <n v="2"/>
    <n v="4"/>
    <n v="2"/>
    <n v="0"/>
    <n v="2"/>
  </r>
  <r>
    <s v="No"/>
    <s v="Travel_Rarely"/>
    <x v="0"/>
    <s v="Current Employees"/>
    <x v="1"/>
    <x v="2"/>
    <x v="346"/>
    <x v="346"/>
    <x v="1"/>
    <x v="3"/>
    <x v="0"/>
    <s v="Yes"/>
    <s v="Y"/>
    <n v="3"/>
    <n v="-2"/>
    <n v="0"/>
    <x v="0"/>
    <x v="1"/>
    <m/>
    <n v="0"/>
    <n v="1"/>
    <n v="483"/>
    <n v="6"/>
    <x v="3"/>
    <n v="1"/>
    <n v="4"/>
    <n v="95"/>
    <n v="2"/>
    <n v="2"/>
    <n v="3"/>
    <n v="6032"/>
    <n v="10110"/>
    <n v="6"/>
    <n v="15"/>
    <n v="3"/>
    <n v="4"/>
    <n v="80"/>
    <n v="0"/>
    <n v="8"/>
    <n v="3"/>
    <n v="5"/>
    <n v="4"/>
    <n v="1"/>
    <n v="2"/>
  </r>
  <r>
    <s v="No"/>
    <s v="Travel_Frequently"/>
    <x v="1"/>
    <s v="Current Employees"/>
    <x v="0"/>
    <x v="2"/>
    <x v="347"/>
    <x v="347"/>
    <x v="1"/>
    <x v="6"/>
    <x v="0"/>
    <s v="No"/>
    <s v="Y"/>
    <n v="3"/>
    <n v="-2"/>
    <n v="0"/>
    <x v="40"/>
    <x v="1"/>
    <m/>
    <n v="0"/>
    <n v="1"/>
    <n v="1309"/>
    <n v="4"/>
    <x v="1"/>
    <n v="1"/>
    <n v="2"/>
    <n v="99"/>
    <n v="3"/>
    <n v="2"/>
    <n v="3"/>
    <n v="2976"/>
    <n v="25751"/>
    <n v="3"/>
    <n v="19"/>
    <n v="3"/>
    <n v="1"/>
    <n v="80"/>
    <n v="0"/>
    <n v="5"/>
    <n v="3"/>
    <n v="0"/>
    <n v="0"/>
    <n v="0"/>
    <n v="0"/>
  </r>
  <r>
    <s v="No"/>
    <s v="Travel_Rarely"/>
    <x v="0"/>
    <s v="Current Employees"/>
    <x v="1"/>
    <x v="0"/>
    <x v="348"/>
    <x v="348"/>
    <x v="0"/>
    <x v="7"/>
    <x v="0"/>
    <s v="No"/>
    <s v="Y"/>
    <n v="2"/>
    <n v="-2"/>
    <n v="0"/>
    <x v="19"/>
    <x v="1"/>
    <m/>
    <n v="0"/>
    <n v="1"/>
    <n v="810"/>
    <n v="23"/>
    <x v="4"/>
    <n v="1"/>
    <n v="1"/>
    <n v="44"/>
    <n v="3"/>
    <n v="4"/>
    <n v="2"/>
    <n v="15992"/>
    <n v="15901"/>
    <n v="2"/>
    <n v="14"/>
    <n v="3"/>
    <n v="2"/>
    <n v="80"/>
    <n v="0"/>
    <n v="16"/>
    <n v="3"/>
    <n v="1"/>
    <n v="0"/>
    <n v="0"/>
    <n v="0"/>
  </r>
  <r>
    <s v="No"/>
    <s v="Non-Travel"/>
    <x v="2"/>
    <s v="Current Employees"/>
    <x v="0"/>
    <x v="0"/>
    <x v="349"/>
    <x v="349"/>
    <x v="1"/>
    <x v="0"/>
    <x v="1"/>
    <s v="No"/>
    <s v="Y"/>
    <n v="3"/>
    <n v="-2"/>
    <n v="0"/>
    <x v="11"/>
    <x v="1"/>
    <m/>
    <n v="0"/>
    <n v="1"/>
    <n v="746"/>
    <n v="2"/>
    <x v="3"/>
    <n v="1"/>
    <n v="4"/>
    <n v="61"/>
    <n v="3"/>
    <n v="2"/>
    <n v="2"/>
    <n v="4649"/>
    <n v="16928"/>
    <n v="1"/>
    <n v="14"/>
    <n v="3"/>
    <n v="1"/>
    <n v="80"/>
    <n v="1"/>
    <n v="4"/>
    <n v="2"/>
    <n v="4"/>
    <n v="3"/>
    <n v="0"/>
    <n v="2"/>
  </r>
  <r>
    <s v="No"/>
    <s v="Travel_Rarely"/>
    <x v="0"/>
    <s v="Current Employees"/>
    <x v="2"/>
    <x v="4"/>
    <x v="350"/>
    <x v="350"/>
    <x v="1"/>
    <x v="8"/>
    <x v="2"/>
    <s v="Yes"/>
    <s v="Y"/>
    <n v="5"/>
    <n v="-2"/>
    <n v="0"/>
    <x v="19"/>
    <x v="1"/>
    <m/>
    <n v="0"/>
    <n v="1"/>
    <n v="544"/>
    <n v="2"/>
    <x v="1"/>
    <n v="1"/>
    <n v="4"/>
    <n v="52"/>
    <n v="3"/>
    <n v="1"/>
    <n v="4"/>
    <n v="2696"/>
    <n v="24017"/>
    <n v="0"/>
    <n v="11"/>
    <n v="3"/>
    <n v="3"/>
    <n v="80"/>
    <n v="1"/>
    <n v="4"/>
    <n v="3"/>
    <n v="3"/>
    <n v="2"/>
    <n v="1"/>
    <n v="0"/>
  </r>
  <r>
    <s v="No"/>
    <s v="Travel_Rarely"/>
    <x v="2"/>
    <s v="Current Employees"/>
    <x v="1"/>
    <x v="2"/>
    <x v="351"/>
    <x v="351"/>
    <x v="0"/>
    <x v="2"/>
    <x v="1"/>
    <s v="No"/>
    <s v="Y"/>
    <n v="4"/>
    <n v="-2"/>
    <n v="0"/>
    <x v="5"/>
    <x v="1"/>
    <m/>
    <n v="0"/>
    <n v="1"/>
    <n v="1062"/>
    <n v="2"/>
    <x v="3"/>
    <n v="1"/>
    <n v="3"/>
    <n v="75"/>
    <n v="3"/>
    <n v="1"/>
    <n v="3"/>
    <n v="2370"/>
    <n v="3956"/>
    <n v="1"/>
    <n v="13"/>
    <n v="3"/>
    <n v="3"/>
    <n v="80"/>
    <n v="1"/>
    <n v="8"/>
    <n v="3"/>
    <n v="8"/>
    <n v="0"/>
    <n v="0"/>
    <n v="7"/>
  </r>
  <r>
    <s v="No"/>
    <s v="Travel_Rarely"/>
    <x v="1"/>
    <s v="Current Employees"/>
    <x v="0"/>
    <x v="2"/>
    <x v="352"/>
    <x v="352"/>
    <x v="0"/>
    <x v="5"/>
    <x v="1"/>
    <s v="No"/>
    <s v="Y"/>
    <n v="3"/>
    <n v="-2"/>
    <n v="0"/>
    <x v="26"/>
    <x v="1"/>
    <m/>
    <n v="0"/>
    <n v="1"/>
    <n v="530"/>
    <n v="29"/>
    <x v="1"/>
    <n v="1"/>
    <n v="1"/>
    <n v="91"/>
    <n v="3"/>
    <n v="3"/>
    <n v="3"/>
    <n v="12504"/>
    <n v="23978"/>
    <n v="3"/>
    <n v="21"/>
    <n v="4"/>
    <n v="2"/>
    <n v="80"/>
    <n v="1"/>
    <n v="15"/>
    <n v="1"/>
    <n v="0"/>
    <n v="0"/>
    <n v="0"/>
    <n v="0"/>
  </r>
  <r>
    <s v="No"/>
    <s v="Travel_Rarely"/>
    <x v="0"/>
    <s v="Current Employees"/>
    <x v="1"/>
    <x v="2"/>
    <x v="353"/>
    <x v="353"/>
    <x v="1"/>
    <x v="1"/>
    <x v="2"/>
    <s v="Yes"/>
    <s v="Y"/>
    <n v="2"/>
    <n v="-2"/>
    <n v="0"/>
    <x v="2"/>
    <x v="1"/>
    <m/>
    <n v="0"/>
    <n v="1"/>
    <n v="1319"/>
    <n v="6"/>
    <x v="3"/>
    <n v="1"/>
    <n v="3"/>
    <n v="51"/>
    <n v="4"/>
    <n v="2"/>
    <n v="3"/>
    <n v="5974"/>
    <n v="17001"/>
    <n v="4"/>
    <n v="13"/>
    <n v="3"/>
    <n v="1"/>
    <n v="80"/>
    <n v="2"/>
    <n v="13"/>
    <n v="3"/>
    <n v="7"/>
    <n v="7"/>
    <n v="6"/>
    <n v="7"/>
  </r>
  <r>
    <s v="No"/>
    <s v="Non-Travel"/>
    <x v="2"/>
    <s v="Current Employees"/>
    <x v="0"/>
    <x v="4"/>
    <x v="354"/>
    <x v="354"/>
    <x v="0"/>
    <x v="0"/>
    <x v="1"/>
    <s v="Yes"/>
    <s v="Y"/>
    <n v="2"/>
    <n v="-2"/>
    <n v="0"/>
    <x v="7"/>
    <x v="1"/>
    <m/>
    <n v="0"/>
    <n v="1"/>
    <n v="641"/>
    <n v="25"/>
    <x v="0"/>
    <n v="1"/>
    <n v="4"/>
    <n v="85"/>
    <n v="3"/>
    <n v="2"/>
    <n v="4"/>
    <n v="4736"/>
    <n v="6069"/>
    <n v="7"/>
    <n v="12"/>
    <n v="3"/>
    <n v="2"/>
    <n v="80"/>
    <n v="1"/>
    <n v="4"/>
    <n v="4"/>
    <n v="2"/>
    <n v="2"/>
    <n v="2"/>
    <n v="2"/>
  </r>
  <r>
    <s v="No"/>
    <s v="Travel_Rarely"/>
    <x v="2"/>
    <s v="Current Employees"/>
    <x v="0"/>
    <x v="0"/>
    <x v="355"/>
    <x v="355"/>
    <x v="1"/>
    <x v="0"/>
    <x v="1"/>
    <s v="No"/>
    <s v="Y"/>
    <n v="3"/>
    <n v="-2"/>
    <n v="0"/>
    <x v="25"/>
    <x v="1"/>
    <m/>
    <n v="0"/>
    <n v="1"/>
    <n v="933"/>
    <n v="1"/>
    <x v="3"/>
    <n v="1"/>
    <n v="3"/>
    <n v="57"/>
    <n v="3"/>
    <n v="2"/>
    <n v="2"/>
    <n v="5296"/>
    <n v="20156"/>
    <n v="1"/>
    <n v="17"/>
    <n v="3"/>
    <n v="2"/>
    <n v="80"/>
    <n v="1"/>
    <n v="8"/>
    <n v="3"/>
    <n v="8"/>
    <n v="7"/>
    <n v="7"/>
    <n v="7"/>
  </r>
  <r>
    <s v="No"/>
    <s v="Travel_Rarely"/>
    <x v="0"/>
    <s v="Current Employees"/>
    <x v="1"/>
    <x v="1"/>
    <x v="356"/>
    <x v="356"/>
    <x v="1"/>
    <x v="4"/>
    <x v="0"/>
    <s v="No"/>
    <s v="Y"/>
    <n v="6"/>
    <n v="-2"/>
    <n v="0"/>
    <x v="19"/>
    <x v="1"/>
    <m/>
    <n v="0"/>
    <n v="1"/>
    <n v="1332"/>
    <n v="2"/>
    <x v="2"/>
    <n v="1"/>
    <n v="1"/>
    <n v="98"/>
    <n v="2"/>
    <n v="2"/>
    <n v="4"/>
    <n v="6781"/>
    <n v="17078"/>
    <n v="3"/>
    <n v="23"/>
    <n v="4"/>
    <n v="2"/>
    <n v="80"/>
    <n v="0"/>
    <n v="14"/>
    <n v="3"/>
    <n v="1"/>
    <n v="0"/>
    <n v="0"/>
    <n v="0"/>
  </r>
  <r>
    <s v="Yes"/>
    <s v="Travel_Frequently"/>
    <x v="4"/>
    <s v="Ex-Employees"/>
    <x v="0"/>
    <x v="4"/>
    <x v="357"/>
    <x v="357"/>
    <x v="0"/>
    <x v="6"/>
    <x v="0"/>
    <s v="Yes"/>
    <s v="Y"/>
    <n v="3"/>
    <n v="-2"/>
    <n v="0"/>
    <x v="18"/>
    <x v="0"/>
    <n v="1"/>
    <n v="1"/>
    <n v="0"/>
    <n v="756"/>
    <n v="1"/>
    <x v="1"/>
    <n v="1"/>
    <n v="4"/>
    <n v="99"/>
    <n v="2"/>
    <n v="1"/>
    <n v="4"/>
    <n v="2174"/>
    <n v="9150"/>
    <n v="1"/>
    <n v="11"/>
    <n v="3"/>
    <n v="3"/>
    <n v="80"/>
    <n v="0"/>
    <n v="3"/>
    <n v="3"/>
    <n v="3"/>
    <n v="2"/>
    <n v="1"/>
    <n v="2"/>
  </r>
  <r>
    <s v="No"/>
    <s v="Non-Travel"/>
    <x v="0"/>
    <s v="Current Employees"/>
    <x v="0"/>
    <x v="2"/>
    <x v="358"/>
    <x v="358"/>
    <x v="0"/>
    <x v="0"/>
    <x v="0"/>
    <s v="No"/>
    <s v="Y"/>
    <n v="6"/>
    <n v="-2"/>
    <n v="0"/>
    <x v="9"/>
    <x v="1"/>
    <m/>
    <n v="0"/>
    <n v="1"/>
    <n v="845"/>
    <n v="1"/>
    <x v="4"/>
    <n v="1"/>
    <n v="4"/>
    <n v="45"/>
    <n v="3"/>
    <n v="2"/>
    <n v="4"/>
    <n v="6653"/>
    <n v="15276"/>
    <n v="4"/>
    <n v="15"/>
    <n v="3"/>
    <n v="2"/>
    <n v="80"/>
    <n v="0"/>
    <n v="7"/>
    <n v="3"/>
    <n v="1"/>
    <n v="0"/>
    <n v="0"/>
    <n v="0"/>
  </r>
  <r>
    <s v="No"/>
    <s v="Travel_Frequently"/>
    <x v="0"/>
    <s v="Current Employees"/>
    <x v="0"/>
    <x v="2"/>
    <x v="359"/>
    <x v="359"/>
    <x v="1"/>
    <x v="0"/>
    <x v="1"/>
    <s v="No"/>
    <s v="Y"/>
    <n v="2"/>
    <n v="-2"/>
    <n v="0"/>
    <x v="9"/>
    <x v="1"/>
    <m/>
    <n v="0"/>
    <n v="1"/>
    <n v="541"/>
    <n v="3"/>
    <x v="2"/>
    <n v="1"/>
    <n v="1"/>
    <n v="48"/>
    <n v="2"/>
    <n v="3"/>
    <n v="4"/>
    <n v="9699"/>
    <n v="7246"/>
    <n v="4"/>
    <n v="11"/>
    <n v="3"/>
    <n v="1"/>
    <n v="80"/>
    <n v="1"/>
    <n v="16"/>
    <n v="3"/>
    <n v="13"/>
    <n v="9"/>
    <n v="1"/>
    <n v="12"/>
  </r>
  <r>
    <s v="No"/>
    <s v="Travel_Rarely"/>
    <x v="3"/>
    <s v="Current Employees"/>
    <x v="1"/>
    <x v="2"/>
    <x v="360"/>
    <x v="360"/>
    <x v="1"/>
    <x v="4"/>
    <x v="1"/>
    <s v="No"/>
    <s v="Y"/>
    <n v="2"/>
    <n v="-2"/>
    <n v="0"/>
    <x v="38"/>
    <x v="1"/>
    <m/>
    <n v="0"/>
    <n v="1"/>
    <n v="593"/>
    <n v="1"/>
    <x v="2"/>
    <n v="1"/>
    <n v="4"/>
    <n v="88"/>
    <n v="3"/>
    <n v="2"/>
    <n v="3"/>
    <n v="6755"/>
    <n v="2967"/>
    <n v="2"/>
    <n v="11"/>
    <n v="3"/>
    <n v="3"/>
    <n v="80"/>
    <n v="0"/>
    <n v="15"/>
    <n v="3"/>
    <n v="3"/>
    <n v="2"/>
    <n v="1"/>
    <n v="2"/>
  </r>
  <r>
    <s v="No"/>
    <s v="Travel_Rarely"/>
    <x v="0"/>
    <s v="Current Employees"/>
    <x v="1"/>
    <x v="0"/>
    <x v="361"/>
    <x v="361"/>
    <x v="0"/>
    <x v="2"/>
    <x v="1"/>
    <s v="Yes"/>
    <s v="Y"/>
    <n v="3"/>
    <n v="-2"/>
    <n v="0"/>
    <x v="32"/>
    <x v="1"/>
    <m/>
    <n v="0"/>
    <n v="1"/>
    <n v="1171"/>
    <n v="10"/>
    <x v="2"/>
    <n v="1"/>
    <n v="4"/>
    <n v="46"/>
    <n v="4"/>
    <n v="1"/>
    <n v="2"/>
    <n v="2213"/>
    <n v="22495"/>
    <n v="3"/>
    <n v="13"/>
    <n v="3"/>
    <n v="3"/>
    <n v="80"/>
    <n v="1"/>
    <n v="10"/>
    <n v="3"/>
    <n v="7"/>
    <n v="7"/>
    <n v="1"/>
    <n v="7"/>
  </r>
  <r>
    <s v="No"/>
    <s v="Non-Travel"/>
    <x v="4"/>
    <s v="Current Employees"/>
    <x v="0"/>
    <x v="2"/>
    <x v="362"/>
    <x v="362"/>
    <x v="1"/>
    <x v="6"/>
    <x v="0"/>
    <s v="No"/>
    <s v="Y"/>
    <n v="3"/>
    <n v="-2"/>
    <n v="0"/>
    <x v="18"/>
    <x v="1"/>
    <m/>
    <n v="0"/>
    <n v="1"/>
    <n v="895"/>
    <n v="9"/>
    <x v="0"/>
    <n v="1"/>
    <n v="1"/>
    <n v="39"/>
    <n v="3"/>
    <n v="1"/>
    <n v="4"/>
    <n v="2610"/>
    <n v="2851"/>
    <n v="1"/>
    <n v="24"/>
    <n v="4"/>
    <n v="3"/>
    <n v="80"/>
    <n v="0"/>
    <n v="3"/>
    <n v="2"/>
    <n v="3"/>
    <n v="2"/>
    <n v="2"/>
    <n v="2"/>
  </r>
  <r>
    <s v="Yes"/>
    <s v="Travel_Rarely"/>
    <x v="2"/>
    <s v="Ex-Employees"/>
    <x v="0"/>
    <x v="3"/>
    <x v="363"/>
    <x v="363"/>
    <x v="0"/>
    <x v="6"/>
    <x v="0"/>
    <s v="Yes"/>
    <s v="Y"/>
    <n v="2"/>
    <n v="-2"/>
    <n v="0"/>
    <x v="3"/>
    <x v="0"/>
    <n v="1"/>
    <n v="1"/>
    <n v="0"/>
    <n v="350"/>
    <n v="5"/>
    <x v="3"/>
    <n v="1"/>
    <n v="4"/>
    <n v="34"/>
    <n v="3"/>
    <n v="1"/>
    <n v="1"/>
    <n v="2851"/>
    <n v="9150"/>
    <n v="1"/>
    <n v="13"/>
    <n v="3"/>
    <n v="2"/>
    <n v="80"/>
    <n v="0"/>
    <n v="1"/>
    <n v="3"/>
    <n v="1"/>
    <n v="0"/>
    <n v="0"/>
    <n v="0"/>
  </r>
  <r>
    <s v="No"/>
    <s v="Travel_Rarely"/>
    <x v="0"/>
    <s v="Current Employees"/>
    <x v="1"/>
    <x v="2"/>
    <x v="364"/>
    <x v="364"/>
    <x v="0"/>
    <x v="2"/>
    <x v="1"/>
    <s v="No"/>
    <s v="Y"/>
    <n v="3"/>
    <n v="-2"/>
    <n v="0"/>
    <x v="2"/>
    <x v="1"/>
    <m/>
    <n v="0"/>
    <n v="1"/>
    <n v="921"/>
    <n v="10"/>
    <x v="3"/>
    <n v="1"/>
    <n v="3"/>
    <n v="98"/>
    <n v="3"/>
    <n v="1"/>
    <n v="3"/>
    <n v="3452"/>
    <n v="17663"/>
    <n v="6"/>
    <n v="20"/>
    <n v="4"/>
    <n v="2"/>
    <n v="80"/>
    <n v="1"/>
    <n v="17"/>
    <n v="3"/>
    <n v="5"/>
    <n v="4"/>
    <n v="0"/>
    <n v="3"/>
  </r>
  <r>
    <s v="No"/>
    <s v="Non-Travel"/>
    <x v="1"/>
    <s v="Current Employees"/>
    <x v="1"/>
    <x v="2"/>
    <x v="365"/>
    <x v="365"/>
    <x v="0"/>
    <x v="3"/>
    <x v="1"/>
    <s v="No"/>
    <s v="Y"/>
    <n v="2"/>
    <n v="-2"/>
    <n v="0"/>
    <x v="21"/>
    <x v="1"/>
    <m/>
    <n v="0"/>
    <n v="1"/>
    <n v="1144"/>
    <n v="7"/>
    <x v="2"/>
    <n v="1"/>
    <n v="3"/>
    <n v="30"/>
    <n v="3"/>
    <n v="2"/>
    <n v="3"/>
    <n v="5258"/>
    <n v="16044"/>
    <n v="2"/>
    <n v="14"/>
    <n v="3"/>
    <n v="3"/>
    <n v="80"/>
    <n v="0"/>
    <n v="7"/>
    <n v="4"/>
    <n v="1"/>
    <n v="0"/>
    <n v="0"/>
    <n v="0"/>
  </r>
  <r>
    <s v="Yes"/>
    <s v="Travel_Frequently"/>
    <x v="0"/>
    <s v="Ex-Employees"/>
    <x v="0"/>
    <x v="3"/>
    <x v="366"/>
    <x v="366"/>
    <x v="1"/>
    <x v="0"/>
    <x v="0"/>
    <s v="No"/>
    <s v="Y"/>
    <n v="5"/>
    <n v="-2"/>
    <n v="0"/>
    <x v="0"/>
    <x v="0"/>
    <n v="1"/>
    <n v="1"/>
    <n v="0"/>
    <n v="143"/>
    <n v="4"/>
    <x v="3"/>
    <n v="1"/>
    <n v="1"/>
    <n v="56"/>
    <n v="3"/>
    <n v="2"/>
    <n v="1"/>
    <n v="9355"/>
    <n v="9558"/>
    <n v="1"/>
    <n v="18"/>
    <n v="3"/>
    <n v="3"/>
    <n v="80"/>
    <n v="0"/>
    <n v="8"/>
    <n v="3"/>
    <n v="8"/>
    <n v="7"/>
    <n v="7"/>
    <n v="7"/>
  </r>
  <r>
    <s v="No"/>
    <s v="Travel_Rarely"/>
    <x v="1"/>
    <s v="Current Employees"/>
    <x v="1"/>
    <x v="4"/>
    <x v="367"/>
    <x v="367"/>
    <x v="1"/>
    <x v="4"/>
    <x v="0"/>
    <s v="No"/>
    <s v="Y"/>
    <n v="2"/>
    <n v="-2"/>
    <n v="0"/>
    <x v="24"/>
    <x v="1"/>
    <m/>
    <n v="0"/>
    <n v="1"/>
    <n v="1046"/>
    <n v="10"/>
    <x v="3"/>
    <n v="1"/>
    <n v="4"/>
    <n v="100"/>
    <n v="2"/>
    <n v="3"/>
    <n v="4"/>
    <n v="10496"/>
    <n v="2755"/>
    <n v="6"/>
    <n v="15"/>
    <n v="3"/>
    <n v="4"/>
    <n v="80"/>
    <n v="0"/>
    <n v="20"/>
    <n v="3"/>
    <n v="4"/>
    <n v="3"/>
    <n v="1"/>
    <n v="3"/>
  </r>
  <r>
    <s v="Yes"/>
    <s v="Travel_Rarely"/>
    <x v="0"/>
    <s v="Ex-Employees"/>
    <x v="0"/>
    <x v="3"/>
    <x v="368"/>
    <x v="368"/>
    <x v="1"/>
    <x v="0"/>
    <x v="1"/>
    <s v="Yes"/>
    <s v="Y"/>
    <n v="6"/>
    <n v="-2"/>
    <n v="0"/>
    <x v="32"/>
    <x v="0"/>
    <n v="1"/>
    <n v="1"/>
    <n v="0"/>
    <n v="575"/>
    <n v="22"/>
    <x v="0"/>
    <n v="1"/>
    <n v="3"/>
    <n v="68"/>
    <n v="2"/>
    <n v="2"/>
    <n v="1"/>
    <n v="6380"/>
    <n v="6110"/>
    <n v="2"/>
    <n v="12"/>
    <n v="3"/>
    <n v="1"/>
    <n v="80"/>
    <n v="2"/>
    <n v="8"/>
    <n v="3"/>
    <n v="6"/>
    <n v="4"/>
    <n v="1"/>
    <n v="0"/>
  </r>
  <r>
    <s v="No"/>
    <s v="Travel_Rarely"/>
    <x v="2"/>
    <s v="Current Employees"/>
    <x v="1"/>
    <x v="0"/>
    <x v="369"/>
    <x v="369"/>
    <x v="1"/>
    <x v="1"/>
    <x v="0"/>
    <s v="Yes"/>
    <s v="Y"/>
    <n v="5"/>
    <n v="-2"/>
    <n v="0"/>
    <x v="12"/>
    <x v="1"/>
    <m/>
    <n v="0"/>
    <n v="1"/>
    <n v="408"/>
    <n v="9"/>
    <x v="2"/>
    <n v="1"/>
    <n v="3"/>
    <n v="42"/>
    <n v="2"/>
    <n v="1"/>
    <n v="2"/>
    <n v="2657"/>
    <n v="7551"/>
    <n v="0"/>
    <n v="16"/>
    <n v="3"/>
    <n v="4"/>
    <n v="80"/>
    <n v="0"/>
    <n v="3"/>
    <n v="3"/>
    <n v="2"/>
    <n v="2"/>
    <n v="2"/>
    <n v="2"/>
  </r>
  <r>
    <s v="Yes"/>
    <s v="Travel_Rarely"/>
    <x v="4"/>
    <s v="Ex-Employees"/>
    <x v="0"/>
    <x v="0"/>
    <x v="370"/>
    <x v="370"/>
    <x v="0"/>
    <x v="6"/>
    <x v="0"/>
    <s v="No"/>
    <s v="Y"/>
    <n v="0"/>
    <n v="-2"/>
    <n v="0"/>
    <x v="18"/>
    <x v="0"/>
    <n v="1"/>
    <n v="1"/>
    <n v="0"/>
    <n v="156"/>
    <n v="12"/>
    <x v="3"/>
    <n v="1"/>
    <n v="3"/>
    <n v="90"/>
    <n v="4"/>
    <n v="1"/>
    <n v="2"/>
    <n v="2716"/>
    <n v="25422"/>
    <n v="1"/>
    <n v="15"/>
    <n v="3"/>
    <n v="4"/>
    <n v="80"/>
    <n v="0"/>
    <n v="1"/>
    <n v="3"/>
    <n v="1"/>
    <n v="0"/>
    <n v="0"/>
    <n v="0"/>
  </r>
  <r>
    <s v="No"/>
    <s v="Travel_Rarely"/>
    <x v="2"/>
    <s v="Current Employees"/>
    <x v="1"/>
    <x v="0"/>
    <x v="371"/>
    <x v="371"/>
    <x v="1"/>
    <x v="1"/>
    <x v="0"/>
    <s v="No"/>
    <s v="Y"/>
    <n v="4"/>
    <n v="-2"/>
    <n v="0"/>
    <x v="11"/>
    <x v="1"/>
    <m/>
    <n v="0"/>
    <n v="1"/>
    <n v="1283"/>
    <n v="23"/>
    <x v="3"/>
    <n v="1"/>
    <n v="4"/>
    <n v="54"/>
    <n v="3"/>
    <n v="1"/>
    <n v="2"/>
    <n v="2201"/>
    <n v="18168"/>
    <n v="9"/>
    <n v="16"/>
    <n v="3"/>
    <n v="4"/>
    <n v="80"/>
    <n v="0"/>
    <n v="6"/>
    <n v="3"/>
    <n v="3"/>
    <n v="2"/>
    <n v="1"/>
    <n v="2"/>
  </r>
  <r>
    <s v="No"/>
    <s v="Travel_Rarely"/>
    <x v="0"/>
    <s v="Current Employees"/>
    <x v="1"/>
    <x v="0"/>
    <x v="372"/>
    <x v="372"/>
    <x v="1"/>
    <x v="4"/>
    <x v="0"/>
    <s v="No"/>
    <s v="Y"/>
    <n v="5"/>
    <n v="-2"/>
    <n v="0"/>
    <x v="10"/>
    <x v="1"/>
    <m/>
    <n v="0"/>
    <n v="1"/>
    <n v="755"/>
    <n v="9"/>
    <x v="2"/>
    <n v="1"/>
    <n v="3"/>
    <n v="97"/>
    <n v="2"/>
    <n v="2"/>
    <n v="2"/>
    <n v="6540"/>
    <n v="19394"/>
    <n v="9"/>
    <n v="19"/>
    <n v="3"/>
    <n v="3"/>
    <n v="80"/>
    <n v="0"/>
    <n v="10"/>
    <n v="3"/>
    <n v="1"/>
    <n v="1"/>
    <n v="0"/>
    <n v="0"/>
  </r>
  <r>
    <s v="No"/>
    <s v="Travel_Rarely"/>
    <x v="2"/>
    <s v="Current Employees"/>
    <x v="1"/>
    <x v="2"/>
    <x v="373"/>
    <x v="373"/>
    <x v="1"/>
    <x v="2"/>
    <x v="2"/>
    <s v="No"/>
    <s v="Y"/>
    <n v="2"/>
    <n v="-2"/>
    <n v="0"/>
    <x v="4"/>
    <x v="1"/>
    <m/>
    <n v="0"/>
    <n v="1"/>
    <n v="1469"/>
    <n v="1"/>
    <x v="0"/>
    <n v="1"/>
    <n v="4"/>
    <n v="82"/>
    <n v="3"/>
    <n v="1"/>
    <n v="3"/>
    <n v="3816"/>
    <n v="17881"/>
    <n v="1"/>
    <n v="11"/>
    <n v="3"/>
    <n v="2"/>
    <n v="80"/>
    <n v="1"/>
    <n v="5"/>
    <n v="3"/>
    <n v="5"/>
    <n v="2"/>
    <n v="0"/>
    <n v="4"/>
  </r>
  <r>
    <s v="No"/>
    <s v="Travel_Rarely"/>
    <x v="2"/>
    <s v="Current Employees"/>
    <x v="0"/>
    <x v="0"/>
    <x v="374"/>
    <x v="374"/>
    <x v="1"/>
    <x v="0"/>
    <x v="0"/>
    <s v="No"/>
    <s v="Y"/>
    <n v="1"/>
    <n v="-2"/>
    <n v="0"/>
    <x v="14"/>
    <x v="1"/>
    <m/>
    <n v="0"/>
    <n v="1"/>
    <n v="304"/>
    <n v="9"/>
    <x v="2"/>
    <n v="1"/>
    <n v="2"/>
    <n v="92"/>
    <n v="3"/>
    <n v="2"/>
    <n v="2"/>
    <n v="5253"/>
    <n v="20750"/>
    <n v="1"/>
    <n v="16"/>
    <n v="3"/>
    <n v="4"/>
    <n v="80"/>
    <n v="0"/>
    <n v="7"/>
    <n v="3"/>
    <n v="7"/>
    <n v="5"/>
    <n v="0"/>
    <n v="7"/>
  </r>
  <r>
    <s v="No"/>
    <s v="Travel_Rarely"/>
    <x v="1"/>
    <s v="Current Employees"/>
    <x v="1"/>
    <x v="1"/>
    <x v="375"/>
    <x v="375"/>
    <x v="1"/>
    <x v="4"/>
    <x v="0"/>
    <s v="No"/>
    <s v="Y"/>
    <n v="2"/>
    <n v="-2"/>
    <n v="0"/>
    <x v="1"/>
    <x v="1"/>
    <m/>
    <n v="0"/>
    <n v="1"/>
    <n v="1261"/>
    <n v="7"/>
    <x v="3"/>
    <n v="1"/>
    <n v="2"/>
    <n v="31"/>
    <n v="2"/>
    <n v="3"/>
    <n v="3"/>
    <n v="10965"/>
    <n v="12066"/>
    <n v="8"/>
    <n v="24"/>
    <n v="4"/>
    <n v="3"/>
    <n v="80"/>
    <n v="0"/>
    <n v="26"/>
    <n v="3"/>
    <n v="5"/>
    <n v="2"/>
    <n v="0"/>
    <n v="0"/>
  </r>
  <r>
    <s v="No"/>
    <s v="Travel_Rarely"/>
    <x v="1"/>
    <s v="Current Employees"/>
    <x v="0"/>
    <x v="0"/>
    <x v="376"/>
    <x v="376"/>
    <x v="0"/>
    <x v="0"/>
    <x v="1"/>
    <s v="No"/>
    <s v="Y"/>
    <n v="2"/>
    <n v="-2"/>
    <n v="0"/>
    <x v="31"/>
    <x v="1"/>
    <m/>
    <n v="0"/>
    <n v="1"/>
    <n v="1178"/>
    <n v="14"/>
    <x v="0"/>
    <n v="1"/>
    <n v="3"/>
    <n v="87"/>
    <n v="3"/>
    <n v="2"/>
    <n v="2"/>
    <n v="4936"/>
    <n v="14862"/>
    <n v="4"/>
    <n v="11"/>
    <n v="3"/>
    <n v="3"/>
    <n v="80"/>
    <n v="1"/>
    <n v="18"/>
    <n v="2"/>
    <n v="7"/>
    <n v="7"/>
    <n v="0"/>
    <n v="7"/>
  </r>
  <r>
    <s v="No"/>
    <s v="Travel_Rarely"/>
    <x v="0"/>
    <s v="Current Employees"/>
    <x v="1"/>
    <x v="0"/>
    <x v="377"/>
    <x v="377"/>
    <x v="0"/>
    <x v="1"/>
    <x v="1"/>
    <s v="No"/>
    <s v="Y"/>
    <n v="3"/>
    <n v="-2"/>
    <n v="0"/>
    <x v="9"/>
    <x v="1"/>
    <m/>
    <n v="0"/>
    <n v="1"/>
    <n v="329"/>
    <n v="2"/>
    <x v="3"/>
    <n v="1"/>
    <n v="4"/>
    <n v="96"/>
    <n v="3"/>
    <n v="1"/>
    <n v="2"/>
    <n v="2543"/>
    <n v="11868"/>
    <n v="4"/>
    <n v="13"/>
    <n v="3"/>
    <n v="2"/>
    <n v="80"/>
    <n v="1"/>
    <n v="6"/>
    <n v="3"/>
    <n v="2"/>
    <n v="2"/>
    <n v="2"/>
    <n v="2"/>
  </r>
  <r>
    <s v="Yes"/>
    <s v="Non-Travel"/>
    <x v="2"/>
    <s v="Ex-Employees"/>
    <x v="0"/>
    <x v="3"/>
    <x v="378"/>
    <x v="378"/>
    <x v="1"/>
    <x v="0"/>
    <x v="0"/>
    <s v="Yes"/>
    <s v="Y"/>
    <n v="3"/>
    <n v="-2"/>
    <n v="0"/>
    <x v="13"/>
    <x v="0"/>
    <n v="1"/>
    <n v="1"/>
    <n v="0"/>
    <n v="1362"/>
    <n v="19"/>
    <x v="3"/>
    <n v="1"/>
    <n v="1"/>
    <n v="67"/>
    <n v="4"/>
    <n v="2"/>
    <n v="1"/>
    <n v="5304"/>
    <n v="4652"/>
    <n v="8"/>
    <n v="13"/>
    <n v="3"/>
    <n v="2"/>
    <n v="80"/>
    <n v="0"/>
    <n v="9"/>
    <n v="2"/>
    <n v="5"/>
    <n v="2"/>
    <n v="0"/>
    <n v="4"/>
  </r>
  <r>
    <s v="No"/>
    <s v="Travel_Rarely"/>
    <x v="3"/>
    <s v="Current Employees"/>
    <x v="1"/>
    <x v="0"/>
    <x v="379"/>
    <x v="379"/>
    <x v="0"/>
    <x v="5"/>
    <x v="0"/>
    <s v="Yes"/>
    <s v="Y"/>
    <n v="2"/>
    <n v="-2"/>
    <n v="0"/>
    <x v="27"/>
    <x v="1"/>
    <m/>
    <n v="0"/>
    <n v="1"/>
    <n v="1311"/>
    <n v="2"/>
    <x v="3"/>
    <n v="1"/>
    <n v="3"/>
    <n v="97"/>
    <n v="3"/>
    <n v="4"/>
    <n v="2"/>
    <n v="16659"/>
    <n v="23258"/>
    <n v="2"/>
    <n v="13"/>
    <n v="3"/>
    <n v="3"/>
    <n v="80"/>
    <n v="0"/>
    <n v="30"/>
    <n v="3"/>
    <n v="5"/>
    <n v="4"/>
    <n v="1"/>
    <n v="2"/>
  </r>
  <r>
    <s v="No"/>
    <s v="Travel_Rarely"/>
    <x v="4"/>
    <s v="Current Employees"/>
    <x v="0"/>
    <x v="3"/>
    <x v="380"/>
    <x v="380"/>
    <x v="0"/>
    <x v="0"/>
    <x v="2"/>
    <s v="Yes"/>
    <s v="Y"/>
    <n v="2"/>
    <n v="-2"/>
    <n v="0"/>
    <x v="17"/>
    <x v="1"/>
    <m/>
    <n v="0"/>
    <n v="1"/>
    <n v="1371"/>
    <n v="10"/>
    <x v="2"/>
    <n v="1"/>
    <n v="4"/>
    <n v="77"/>
    <n v="3"/>
    <n v="2"/>
    <n v="1"/>
    <n v="4260"/>
    <n v="5915"/>
    <n v="1"/>
    <n v="12"/>
    <n v="3"/>
    <n v="4"/>
    <n v="80"/>
    <n v="1"/>
    <n v="5"/>
    <n v="4"/>
    <n v="5"/>
    <n v="2"/>
    <n v="0"/>
    <n v="3"/>
  </r>
  <r>
    <s v="No"/>
    <s v="Travel_Rarely"/>
    <x v="2"/>
    <s v="Current Employees"/>
    <x v="0"/>
    <x v="4"/>
    <x v="381"/>
    <x v="381"/>
    <x v="1"/>
    <x v="6"/>
    <x v="1"/>
    <s v="No"/>
    <s v="Y"/>
    <n v="3"/>
    <n v="-2"/>
    <n v="0"/>
    <x v="7"/>
    <x v="1"/>
    <m/>
    <n v="0"/>
    <n v="1"/>
    <n v="202"/>
    <n v="2"/>
    <x v="1"/>
    <n v="1"/>
    <n v="4"/>
    <n v="72"/>
    <n v="3"/>
    <n v="1"/>
    <n v="4"/>
    <n v="2476"/>
    <n v="17434"/>
    <n v="1"/>
    <n v="18"/>
    <n v="3"/>
    <n v="1"/>
    <n v="80"/>
    <n v="1"/>
    <n v="1"/>
    <n v="3"/>
    <n v="1"/>
    <n v="0"/>
    <n v="0"/>
    <n v="0"/>
  </r>
  <r>
    <s v="Yes"/>
    <s v="Travel_Frequently"/>
    <x v="2"/>
    <s v="Ex-Employees"/>
    <x v="1"/>
    <x v="4"/>
    <x v="382"/>
    <x v="382"/>
    <x v="1"/>
    <x v="1"/>
    <x v="0"/>
    <s v="No"/>
    <s v="Y"/>
    <n v="2"/>
    <n v="-2"/>
    <n v="0"/>
    <x v="25"/>
    <x v="0"/>
    <n v="1"/>
    <n v="1"/>
    <n v="0"/>
    <n v="575"/>
    <n v="3"/>
    <x v="1"/>
    <n v="1"/>
    <n v="4"/>
    <n v="73"/>
    <n v="3"/>
    <n v="1"/>
    <n v="4"/>
    <n v="3102"/>
    <n v="6582"/>
    <n v="0"/>
    <n v="22"/>
    <n v="4"/>
    <n v="3"/>
    <n v="80"/>
    <n v="0"/>
    <n v="7"/>
    <n v="3"/>
    <n v="6"/>
    <n v="4"/>
    <n v="0"/>
    <n v="4"/>
  </r>
  <r>
    <s v="No"/>
    <s v="Travel_Rarely"/>
    <x v="4"/>
    <s v="Current Employees"/>
    <x v="1"/>
    <x v="2"/>
    <x v="383"/>
    <x v="383"/>
    <x v="0"/>
    <x v="1"/>
    <x v="1"/>
    <s v="No"/>
    <s v="Y"/>
    <n v="1"/>
    <n v="-2"/>
    <n v="0"/>
    <x v="15"/>
    <x v="1"/>
    <m/>
    <n v="0"/>
    <n v="1"/>
    <n v="253"/>
    <n v="11"/>
    <x v="3"/>
    <n v="1"/>
    <n v="1"/>
    <n v="43"/>
    <n v="3"/>
    <n v="1"/>
    <n v="3"/>
    <n v="2244"/>
    <n v="24440"/>
    <n v="1"/>
    <n v="13"/>
    <n v="3"/>
    <n v="4"/>
    <n v="80"/>
    <n v="1"/>
    <n v="2"/>
    <n v="3"/>
    <n v="2"/>
    <n v="1"/>
    <n v="1"/>
    <n v="2"/>
  </r>
  <r>
    <s v="No"/>
    <s v="Travel_Rarely"/>
    <x v="0"/>
    <s v="Current Employees"/>
    <x v="0"/>
    <x v="2"/>
    <x v="384"/>
    <x v="384"/>
    <x v="1"/>
    <x v="0"/>
    <x v="1"/>
    <s v="No"/>
    <s v="Y"/>
    <n v="2"/>
    <n v="-2"/>
    <n v="0"/>
    <x v="9"/>
    <x v="1"/>
    <m/>
    <n v="0"/>
    <n v="1"/>
    <n v="164"/>
    <n v="2"/>
    <x v="0"/>
    <n v="1"/>
    <n v="2"/>
    <n v="61"/>
    <n v="2"/>
    <n v="3"/>
    <n v="3"/>
    <n v="7596"/>
    <n v="3809"/>
    <n v="1"/>
    <n v="13"/>
    <n v="3"/>
    <n v="2"/>
    <n v="80"/>
    <n v="2"/>
    <n v="10"/>
    <n v="3"/>
    <n v="10"/>
    <n v="9"/>
    <n v="9"/>
    <n v="0"/>
  </r>
  <r>
    <s v="Yes"/>
    <s v="Travel_Frequently"/>
    <x v="2"/>
    <s v="Ex-Employees"/>
    <x v="1"/>
    <x v="4"/>
    <x v="385"/>
    <x v="385"/>
    <x v="1"/>
    <x v="1"/>
    <x v="0"/>
    <s v="Yes"/>
    <s v="Y"/>
    <n v="4"/>
    <n v="-2"/>
    <n v="0"/>
    <x v="7"/>
    <x v="0"/>
    <n v="1"/>
    <n v="1"/>
    <n v="0"/>
    <n v="464"/>
    <n v="4"/>
    <x v="3"/>
    <n v="1"/>
    <n v="4"/>
    <n v="40"/>
    <n v="3"/>
    <n v="1"/>
    <n v="4"/>
    <n v="2285"/>
    <n v="3427"/>
    <n v="9"/>
    <n v="23"/>
    <n v="4"/>
    <n v="3"/>
    <n v="80"/>
    <n v="0"/>
    <n v="3"/>
    <n v="3"/>
    <n v="1"/>
    <n v="0"/>
    <n v="0"/>
    <n v="0"/>
  </r>
  <r>
    <s v="No"/>
    <s v="Travel_Rarely"/>
    <x v="0"/>
    <s v="Current Employees"/>
    <x v="1"/>
    <x v="0"/>
    <x v="386"/>
    <x v="386"/>
    <x v="0"/>
    <x v="2"/>
    <x v="2"/>
    <s v="No"/>
    <s v="Y"/>
    <n v="2"/>
    <n v="-2"/>
    <n v="0"/>
    <x v="2"/>
    <x v="1"/>
    <m/>
    <n v="0"/>
    <n v="1"/>
    <n v="1107"/>
    <n v="14"/>
    <x v="3"/>
    <n v="1"/>
    <n v="4"/>
    <n v="95"/>
    <n v="3"/>
    <n v="1"/>
    <n v="2"/>
    <n v="3034"/>
    <n v="26914"/>
    <n v="1"/>
    <n v="12"/>
    <n v="3"/>
    <n v="3"/>
    <n v="80"/>
    <n v="1"/>
    <n v="18"/>
    <n v="2"/>
    <n v="18"/>
    <n v="7"/>
    <n v="12"/>
    <n v="17"/>
  </r>
  <r>
    <s v="No"/>
    <s v="Travel_Rarely"/>
    <x v="0"/>
    <s v="Current Employees"/>
    <x v="0"/>
    <x v="3"/>
    <x v="387"/>
    <x v="387"/>
    <x v="0"/>
    <x v="0"/>
    <x v="2"/>
    <s v="No"/>
    <s v="Y"/>
    <n v="5"/>
    <n v="-2"/>
    <n v="0"/>
    <x v="32"/>
    <x v="1"/>
    <m/>
    <n v="0"/>
    <n v="1"/>
    <n v="759"/>
    <n v="2"/>
    <x v="0"/>
    <n v="1"/>
    <n v="4"/>
    <n v="46"/>
    <n v="3"/>
    <n v="2"/>
    <n v="1"/>
    <n v="5715"/>
    <n v="22553"/>
    <n v="7"/>
    <n v="12"/>
    <n v="3"/>
    <n v="3"/>
    <n v="80"/>
    <n v="2"/>
    <n v="8"/>
    <n v="3"/>
    <n v="5"/>
    <n v="4"/>
    <n v="1"/>
    <n v="3"/>
  </r>
  <r>
    <s v="No"/>
    <s v="Travel_Rarely"/>
    <x v="0"/>
    <s v="Current Employees"/>
    <x v="1"/>
    <x v="0"/>
    <x v="388"/>
    <x v="388"/>
    <x v="0"/>
    <x v="2"/>
    <x v="2"/>
    <s v="No"/>
    <s v="Y"/>
    <n v="5"/>
    <n v="-2"/>
    <n v="0"/>
    <x v="19"/>
    <x v="1"/>
    <m/>
    <n v="0"/>
    <n v="1"/>
    <n v="201"/>
    <n v="1"/>
    <x v="2"/>
    <n v="1"/>
    <n v="2"/>
    <n v="95"/>
    <n v="3"/>
    <n v="1"/>
    <n v="2"/>
    <n v="2576"/>
    <n v="20490"/>
    <n v="3"/>
    <n v="16"/>
    <n v="3"/>
    <n v="2"/>
    <n v="80"/>
    <n v="1"/>
    <n v="8"/>
    <n v="3"/>
    <n v="5"/>
    <n v="2"/>
    <n v="1"/>
    <n v="2"/>
  </r>
  <r>
    <s v="No"/>
    <s v="Travel_Rarely"/>
    <x v="0"/>
    <s v="Current Employees"/>
    <x v="1"/>
    <x v="0"/>
    <x v="389"/>
    <x v="389"/>
    <x v="1"/>
    <x v="3"/>
    <x v="0"/>
    <s v="Yes"/>
    <s v="Y"/>
    <n v="2"/>
    <n v="-2"/>
    <n v="0"/>
    <x v="2"/>
    <x v="1"/>
    <m/>
    <n v="0"/>
    <n v="1"/>
    <n v="1305"/>
    <n v="10"/>
    <x v="2"/>
    <n v="1"/>
    <n v="3"/>
    <n v="49"/>
    <n v="3"/>
    <n v="2"/>
    <n v="2"/>
    <n v="4197"/>
    <n v="21123"/>
    <n v="2"/>
    <n v="12"/>
    <n v="3"/>
    <n v="4"/>
    <n v="80"/>
    <n v="0"/>
    <n v="18"/>
    <n v="2"/>
    <n v="1"/>
    <n v="0"/>
    <n v="0"/>
    <n v="1"/>
  </r>
  <r>
    <s v="No"/>
    <s v="Travel_Rarely"/>
    <x v="0"/>
    <s v="Current Employees"/>
    <x v="1"/>
    <x v="0"/>
    <x v="390"/>
    <x v="390"/>
    <x v="1"/>
    <x v="7"/>
    <x v="2"/>
    <s v="No"/>
    <s v="Y"/>
    <n v="3"/>
    <n v="-2"/>
    <n v="0"/>
    <x v="23"/>
    <x v="1"/>
    <m/>
    <n v="0"/>
    <n v="1"/>
    <n v="982"/>
    <n v="12"/>
    <x v="3"/>
    <n v="1"/>
    <n v="1"/>
    <n v="59"/>
    <n v="2"/>
    <n v="4"/>
    <n v="2"/>
    <n v="14336"/>
    <n v="4345"/>
    <n v="1"/>
    <n v="11"/>
    <n v="3"/>
    <n v="3"/>
    <n v="80"/>
    <n v="1"/>
    <n v="25"/>
    <n v="3"/>
    <n v="25"/>
    <n v="10"/>
    <n v="3"/>
    <n v="9"/>
  </r>
  <r>
    <s v="No"/>
    <s v="Travel_Rarely"/>
    <x v="0"/>
    <s v="Current Employees"/>
    <x v="1"/>
    <x v="2"/>
    <x v="391"/>
    <x v="391"/>
    <x v="0"/>
    <x v="2"/>
    <x v="1"/>
    <s v="No"/>
    <s v="Y"/>
    <n v="3"/>
    <n v="-2"/>
    <n v="0"/>
    <x v="32"/>
    <x v="1"/>
    <m/>
    <n v="0"/>
    <n v="1"/>
    <n v="555"/>
    <n v="2"/>
    <x v="3"/>
    <n v="1"/>
    <n v="2"/>
    <n v="78"/>
    <n v="2"/>
    <n v="2"/>
    <n v="3"/>
    <n v="3448"/>
    <n v="13436"/>
    <n v="6"/>
    <n v="22"/>
    <n v="4"/>
    <n v="2"/>
    <n v="80"/>
    <n v="1"/>
    <n v="20"/>
    <n v="3"/>
    <n v="1"/>
    <n v="0"/>
    <n v="0"/>
    <n v="0"/>
  </r>
  <r>
    <s v="No"/>
    <s v="Travel_Rarely"/>
    <x v="1"/>
    <s v="Current Employees"/>
    <x v="1"/>
    <x v="2"/>
    <x v="392"/>
    <x v="392"/>
    <x v="1"/>
    <x v="7"/>
    <x v="1"/>
    <s v="No"/>
    <s v="Y"/>
    <n v="4"/>
    <n v="-2"/>
    <n v="0"/>
    <x v="33"/>
    <x v="1"/>
    <m/>
    <n v="0"/>
    <n v="1"/>
    <n v="821"/>
    <n v="5"/>
    <x v="0"/>
    <n v="1"/>
    <n v="1"/>
    <n v="86"/>
    <n v="3"/>
    <n v="5"/>
    <n v="3"/>
    <n v="19406"/>
    <n v="8509"/>
    <n v="4"/>
    <n v="11"/>
    <n v="3"/>
    <n v="3"/>
    <n v="80"/>
    <n v="1"/>
    <n v="24"/>
    <n v="2"/>
    <n v="4"/>
    <n v="2"/>
    <n v="1"/>
    <n v="2"/>
  </r>
  <r>
    <s v="No"/>
    <s v="Non-Travel"/>
    <x v="2"/>
    <s v="Current Employees"/>
    <x v="0"/>
    <x v="3"/>
    <x v="393"/>
    <x v="393"/>
    <x v="0"/>
    <x v="0"/>
    <x v="1"/>
    <s v="No"/>
    <s v="Y"/>
    <n v="3"/>
    <n v="-2"/>
    <n v="0"/>
    <x v="13"/>
    <x v="1"/>
    <m/>
    <n v="0"/>
    <n v="1"/>
    <n v="1381"/>
    <n v="4"/>
    <x v="2"/>
    <n v="1"/>
    <n v="3"/>
    <n v="72"/>
    <n v="3"/>
    <n v="2"/>
    <n v="1"/>
    <n v="6538"/>
    <n v="12740"/>
    <n v="9"/>
    <n v="15"/>
    <n v="3"/>
    <n v="1"/>
    <n v="80"/>
    <n v="1"/>
    <n v="6"/>
    <n v="3"/>
    <n v="3"/>
    <n v="2"/>
    <n v="1"/>
    <n v="2"/>
  </r>
  <r>
    <s v="No"/>
    <s v="Travel_Rarely"/>
    <x v="2"/>
    <s v="Current Employees"/>
    <x v="1"/>
    <x v="2"/>
    <x v="394"/>
    <x v="394"/>
    <x v="0"/>
    <x v="3"/>
    <x v="1"/>
    <s v="No"/>
    <s v="Y"/>
    <n v="5"/>
    <n v="-2"/>
    <n v="0"/>
    <x v="12"/>
    <x v="1"/>
    <m/>
    <n v="0"/>
    <n v="1"/>
    <n v="480"/>
    <n v="7"/>
    <x v="0"/>
    <n v="1"/>
    <n v="2"/>
    <n v="31"/>
    <n v="3"/>
    <n v="2"/>
    <n v="3"/>
    <n v="4306"/>
    <n v="4156"/>
    <n v="1"/>
    <n v="12"/>
    <n v="3"/>
    <n v="2"/>
    <n v="80"/>
    <n v="1"/>
    <n v="13"/>
    <n v="1"/>
    <n v="13"/>
    <n v="10"/>
    <n v="3"/>
    <n v="12"/>
  </r>
  <r>
    <s v="No"/>
    <s v="Travel_Frequently"/>
    <x v="0"/>
    <s v="Current Employees"/>
    <x v="1"/>
    <x v="2"/>
    <x v="395"/>
    <x v="395"/>
    <x v="1"/>
    <x v="2"/>
    <x v="1"/>
    <s v="No"/>
    <s v="Y"/>
    <n v="1"/>
    <n v="-2"/>
    <n v="0"/>
    <x v="23"/>
    <x v="1"/>
    <m/>
    <n v="0"/>
    <n v="1"/>
    <n v="313"/>
    <n v="21"/>
    <x v="3"/>
    <n v="1"/>
    <n v="4"/>
    <n v="61"/>
    <n v="3"/>
    <n v="1"/>
    <n v="4"/>
    <n v="2258"/>
    <n v="15238"/>
    <n v="7"/>
    <n v="20"/>
    <n v="4"/>
    <n v="1"/>
    <n v="80"/>
    <n v="1"/>
    <n v="8"/>
    <n v="3"/>
    <n v="3"/>
    <n v="2"/>
    <n v="1"/>
    <n v="2"/>
  </r>
  <r>
    <s v="No"/>
    <s v="Travel_Rarely"/>
    <x v="0"/>
    <s v="Current Employees"/>
    <x v="1"/>
    <x v="1"/>
    <x v="396"/>
    <x v="396"/>
    <x v="0"/>
    <x v="4"/>
    <x v="2"/>
    <s v="Yes"/>
    <s v="Y"/>
    <n v="3"/>
    <n v="-2"/>
    <n v="0"/>
    <x v="23"/>
    <x v="1"/>
    <m/>
    <n v="0"/>
    <n v="1"/>
    <n v="1473"/>
    <n v="8"/>
    <x v="2"/>
    <n v="1"/>
    <n v="3"/>
    <n v="74"/>
    <n v="3"/>
    <n v="2"/>
    <n v="3"/>
    <n v="4522"/>
    <n v="2227"/>
    <n v="4"/>
    <n v="14"/>
    <n v="3"/>
    <n v="4"/>
    <n v="80"/>
    <n v="0"/>
    <n v="8"/>
    <n v="3"/>
    <n v="5"/>
    <n v="2"/>
    <n v="0"/>
    <n v="2"/>
  </r>
  <r>
    <s v="No"/>
    <s v="Travel_Rarely"/>
    <x v="2"/>
    <s v="Current Employees"/>
    <x v="0"/>
    <x v="0"/>
    <x v="397"/>
    <x v="397"/>
    <x v="0"/>
    <x v="0"/>
    <x v="0"/>
    <s v="Yes"/>
    <s v="Y"/>
    <n v="3"/>
    <n v="-2"/>
    <n v="0"/>
    <x v="36"/>
    <x v="1"/>
    <m/>
    <n v="0"/>
    <n v="1"/>
    <n v="891"/>
    <n v="4"/>
    <x v="0"/>
    <n v="1"/>
    <n v="2"/>
    <n v="99"/>
    <n v="2"/>
    <n v="2"/>
    <n v="2"/>
    <n v="4487"/>
    <n v="12090"/>
    <n v="1"/>
    <n v="11"/>
    <n v="3"/>
    <n v="2"/>
    <n v="80"/>
    <n v="0"/>
    <n v="5"/>
    <n v="3"/>
    <n v="5"/>
    <n v="4"/>
    <n v="1"/>
    <n v="3"/>
  </r>
  <r>
    <s v="No"/>
    <s v="Non-Travel"/>
    <x v="0"/>
    <s v="Current Employees"/>
    <x v="1"/>
    <x v="2"/>
    <x v="398"/>
    <x v="398"/>
    <x v="0"/>
    <x v="1"/>
    <x v="1"/>
    <s v="Yes"/>
    <s v="Y"/>
    <n v="2"/>
    <n v="-2"/>
    <n v="0"/>
    <x v="2"/>
    <x v="1"/>
    <m/>
    <n v="0"/>
    <n v="1"/>
    <n v="1063"/>
    <n v="25"/>
    <x v="4"/>
    <n v="1"/>
    <n v="2"/>
    <n v="72"/>
    <n v="3"/>
    <n v="2"/>
    <n v="3"/>
    <n v="4449"/>
    <n v="23866"/>
    <n v="3"/>
    <n v="15"/>
    <n v="3"/>
    <n v="1"/>
    <n v="80"/>
    <n v="2"/>
    <n v="15"/>
    <n v="3"/>
    <n v="13"/>
    <n v="11"/>
    <n v="10"/>
    <n v="7"/>
  </r>
  <r>
    <s v="No"/>
    <s v="Travel_Rarely"/>
    <x v="2"/>
    <s v="Current Employees"/>
    <x v="1"/>
    <x v="0"/>
    <x v="399"/>
    <x v="399"/>
    <x v="1"/>
    <x v="2"/>
    <x v="1"/>
    <s v="No"/>
    <s v="Y"/>
    <n v="3"/>
    <n v="-2"/>
    <n v="0"/>
    <x v="12"/>
    <x v="1"/>
    <m/>
    <n v="0"/>
    <n v="1"/>
    <n v="329"/>
    <n v="1"/>
    <x v="0"/>
    <n v="1"/>
    <n v="4"/>
    <n v="98"/>
    <n v="2"/>
    <n v="1"/>
    <n v="2"/>
    <n v="2218"/>
    <n v="16193"/>
    <n v="1"/>
    <n v="12"/>
    <n v="3"/>
    <n v="3"/>
    <n v="80"/>
    <n v="1"/>
    <n v="4"/>
    <n v="3"/>
    <n v="4"/>
    <n v="2"/>
    <n v="3"/>
    <n v="2"/>
  </r>
  <r>
    <s v="No"/>
    <s v="Travel_Frequently"/>
    <x v="0"/>
    <s v="Current Employees"/>
    <x v="1"/>
    <x v="0"/>
    <x v="400"/>
    <x v="400"/>
    <x v="1"/>
    <x v="5"/>
    <x v="2"/>
    <s v="Yes"/>
    <s v="Y"/>
    <n v="3"/>
    <n v="-2"/>
    <n v="0"/>
    <x v="22"/>
    <x v="1"/>
    <m/>
    <n v="0"/>
    <n v="1"/>
    <n v="1218"/>
    <n v="1"/>
    <x v="1"/>
    <n v="1"/>
    <n v="2"/>
    <n v="52"/>
    <n v="3"/>
    <n v="5"/>
    <n v="2"/>
    <n v="19197"/>
    <n v="8213"/>
    <n v="1"/>
    <n v="14"/>
    <n v="3"/>
    <n v="3"/>
    <n v="80"/>
    <n v="1"/>
    <n v="21"/>
    <n v="3"/>
    <n v="21"/>
    <n v="8"/>
    <n v="1"/>
    <n v="6"/>
  </r>
  <r>
    <s v="No"/>
    <s v="Travel_Frequently"/>
    <x v="3"/>
    <s v="Current Employees"/>
    <x v="0"/>
    <x v="0"/>
    <x v="401"/>
    <x v="401"/>
    <x v="0"/>
    <x v="0"/>
    <x v="1"/>
    <s v="No"/>
    <s v="Y"/>
    <n v="0"/>
    <n v="-2"/>
    <n v="0"/>
    <x v="29"/>
    <x v="1"/>
    <m/>
    <n v="0"/>
    <n v="1"/>
    <n v="906"/>
    <n v="6"/>
    <x v="3"/>
    <n v="1"/>
    <n v="3"/>
    <n v="86"/>
    <n v="4"/>
    <n v="4"/>
    <n v="2"/>
    <n v="13212"/>
    <n v="18256"/>
    <n v="9"/>
    <n v="11"/>
    <n v="3"/>
    <n v="4"/>
    <n v="80"/>
    <n v="3"/>
    <n v="36"/>
    <n v="2"/>
    <n v="7"/>
    <n v="7"/>
    <n v="7"/>
    <n v="7"/>
  </r>
  <r>
    <s v="No"/>
    <s v="Travel_Rarely"/>
    <x v="2"/>
    <s v="Current Employees"/>
    <x v="0"/>
    <x v="4"/>
    <x v="402"/>
    <x v="402"/>
    <x v="0"/>
    <x v="0"/>
    <x v="0"/>
    <s v="No"/>
    <s v="Y"/>
    <n v="6"/>
    <n v="-2"/>
    <n v="0"/>
    <x v="7"/>
    <x v="1"/>
    <m/>
    <n v="0"/>
    <n v="1"/>
    <n v="1082"/>
    <n v="12"/>
    <x v="3"/>
    <n v="1"/>
    <n v="4"/>
    <n v="83"/>
    <n v="3"/>
    <n v="2"/>
    <n v="4"/>
    <n v="6577"/>
    <n v="19558"/>
    <n v="0"/>
    <n v="11"/>
    <n v="3"/>
    <n v="2"/>
    <n v="80"/>
    <n v="0"/>
    <n v="6"/>
    <n v="3"/>
    <n v="5"/>
    <n v="4"/>
    <n v="4"/>
    <n v="4"/>
  </r>
  <r>
    <s v="No"/>
    <s v="Travel_Rarely"/>
    <x v="0"/>
    <s v="Current Employees"/>
    <x v="0"/>
    <x v="3"/>
    <x v="403"/>
    <x v="403"/>
    <x v="1"/>
    <x v="0"/>
    <x v="1"/>
    <s v="No"/>
    <s v="Y"/>
    <n v="2"/>
    <n v="-2"/>
    <n v="0"/>
    <x v="0"/>
    <x v="1"/>
    <m/>
    <n v="0"/>
    <n v="1"/>
    <n v="645"/>
    <n v="1"/>
    <x v="3"/>
    <n v="1"/>
    <n v="2"/>
    <n v="49"/>
    <n v="4"/>
    <n v="3"/>
    <n v="1"/>
    <n v="8392"/>
    <n v="19566"/>
    <n v="1"/>
    <n v="16"/>
    <n v="3"/>
    <n v="3"/>
    <n v="80"/>
    <n v="1"/>
    <n v="10"/>
    <n v="3"/>
    <n v="10"/>
    <n v="7"/>
    <n v="0"/>
    <n v="7"/>
  </r>
  <r>
    <s v="No"/>
    <s v="Travel_Rarely"/>
    <x v="2"/>
    <s v="Current Employees"/>
    <x v="1"/>
    <x v="2"/>
    <x v="404"/>
    <x v="404"/>
    <x v="1"/>
    <x v="2"/>
    <x v="2"/>
    <s v="No"/>
    <s v="Y"/>
    <n v="2"/>
    <n v="-2"/>
    <n v="0"/>
    <x v="14"/>
    <x v="1"/>
    <m/>
    <n v="0"/>
    <n v="1"/>
    <n v="1300"/>
    <n v="17"/>
    <x v="0"/>
    <n v="1"/>
    <n v="3"/>
    <n v="79"/>
    <n v="3"/>
    <n v="2"/>
    <n v="3"/>
    <n v="4558"/>
    <n v="13535"/>
    <n v="1"/>
    <n v="12"/>
    <n v="3"/>
    <n v="4"/>
    <n v="80"/>
    <n v="1"/>
    <n v="10"/>
    <n v="3"/>
    <n v="10"/>
    <n v="0"/>
    <n v="1"/>
    <n v="8"/>
  </r>
  <r>
    <s v="Yes"/>
    <s v="Travel_Rarely"/>
    <x v="2"/>
    <s v="Ex-Employees"/>
    <x v="1"/>
    <x v="2"/>
    <x v="405"/>
    <x v="405"/>
    <x v="1"/>
    <x v="2"/>
    <x v="1"/>
    <s v="No"/>
    <s v="Y"/>
    <n v="5"/>
    <n v="-2"/>
    <n v="0"/>
    <x v="36"/>
    <x v="0"/>
    <n v="1"/>
    <n v="1"/>
    <n v="0"/>
    <n v="688"/>
    <n v="3"/>
    <x v="3"/>
    <n v="1"/>
    <n v="1"/>
    <n v="91"/>
    <n v="3"/>
    <n v="1"/>
    <n v="3"/>
    <n v="4031"/>
    <n v="9396"/>
    <n v="5"/>
    <n v="13"/>
    <n v="3"/>
    <n v="3"/>
    <n v="80"/>
    <n v="1"/>
    <n v="6"/>
    <n v="3"/>
    <n v="2"/>
    <n v="2"/>
    <n v="0"/>
    <n v="2"/>
  </r>
  <r>
    <s v="No"/>
    <s v="Travel_Rarely"/>
    <x v="1"/>
    <s v="Current Employees"/>
    <x v="1"/>
    <x v="2"/>
    <x v="406"/>
    <x v="406"/>
    <x v="1"/>
    <x v="3"/>
    <x v="1"/>
    <s v="Yes"/>
    <s v="Y"/>
    <n v="4"/>
    <n v="-2"/>
    <n v="0"/>
    <x v="39"/>
    <x v="1"/>
    <m/>
    <n v="0"/>
    <n v="1"/>
    <n v="319"/>
    <n v="3"/>
    <x v="3"/>
    <n v="1"/>
    <n v="4"/>
    <n v="39"/>
    <n v="2"/>
    <n v="3"/>
    <n v="3"/>
    <n v="7969"/>
    <n v="19609"/>
    <n v="2"/>
    <n v="14"/>
    <n v="3"/>
    <n v="3"/>
    <n v="80"/>
    <n v="0"/>
    <n v="28"/>
    <n v="3"/>
    <n v="5"/>
    <n v="4"/>
    <n v="0"/>
    <n v="4"/>
  </r>
  <r>
    <s v="No"/>
    <s v="Travel_Rarely"/>
    <x v="1"/>
    <s v="Current Employees"/>
    <x v="1"/>
    <x v="0"/>
    <x v="407"/>
    <x v="407"/>
    <x v="1"/>
    <x v="1"/>
    <x v="1"/>
    <s v="No"/>
    <s v="Y"/>
    <n v="3"/>
    <n v="-2"/>
    <n v="0"/>
    <x v="28"/>
    <x v="1"/>
    <m/>
    <n v="0"/>
    <n v="1"/>
    <n v="192"/>
    <n v="10"/>
    <x v="0"/>
    <n v="1"/>
    <n v="1"/>
    <n v="69"/>
    <n v="3"/>
    <n v="1"/>
    <n v="2"/>
    <n v="2654"/>
    <n v="9655"/>
    <n v="3"/>
    <n v="21"/>
    <n v="4"/>
    <n v="4"/>
    <n v="80"/>
    <n v="2"/>
    <n v="8"/>
    <n v="2"/>
    <n v="2"/>
    <n v="2"/>
    <n v="0"/>
    <n v="2"/>
  </r>
  <r>
    <s v="No"/>
    <s v="Travel_Rarely"/>
    <x v="1"/>
    <s v="Current Employees"/>
    <x v="1"/>
    <x v="0"/>
    <x v="408"/>
    <x v="408"/>
    <x v="0"/>
    <x v="5"/>
    <x v="1"/>
    <s v="No"/>
    <s v="Y"/>
    <n v="2"/>
    <n v="-2"/>
    <n v="0"/>
    <x v="39"/>
    <x v="1"/>
    <m/>
    <n v="0"/>
    <n v="1"/>
    <n v="1490"/>
    <n v="4"/>
    <x v="0"/>
    <n v="1"/>
    <n v="4"/>
    <n v="30"/>
    <n v="3"/>
    <n v="4"/>
    <n v="2"/>
    <n v="16555"/>
    <n v="10310"/>
    <n v="2"/>
    <n v="13"/>
    <n v="3"/>
    <n v="4"/>
    <n v="80"/>
    <n v="0"/>
    <n v="31"/>
    <n v="1"/>
    <n v="5"/>
    <n v="2"/>
    <n v="1"/>
    <n v="4"/>
  </r>
  <r>
    <s v="No"/>
    <s v="Travel_Frequently"/>
    <x v="0"/>
    <s v="Current Employees"/>
    <x v="1"/>
    <x v="0"/>
    <x v="409"/>
    <x v="409"/>
    <x v="0"/>
    <x v="1"/>
    <x v="2"/>
    <s v="No"/>
    <s v="Y"/>
    <n v="3"/>
    <n v="-2"/>
    <n v="0"/>
    <x v="19"/>
    <x v="1"/>
    <m/>
    <n v="0"/>
    <n v="1"/>
    <n v="532"/>
    <n v="29"/>
    <x v="0"/>
    <n v="1"/>
    <n v="1"/>
    <n v="92"/>
    <n v="3"/>
    <n v="2"/>
    <n v="2"/>
    <n v="4556"/>
    <n v="12932"/>
    <n v="2"/>
    <n v="11"/>
    <n v="3"/>
    <n v="2"/>
    <n v="80"/>
    <n v="1"/>
    <n v="19"/>
    <n v="3"/>
    <n v="5"/>
    <n v="4"/>
    <n v="0"/>
    <n v="2"/>
  </r>
  <r>
    <s v="No"/>
    <s v="Travel_Rarely"/>
    <x v="2"/>
    <s v="Current Employees"/>
    <x v="1"/>
    <x v="0"/>
    <x v="410"/>
    <x v="410"/>
    <x v="0"/>
    <x v="3"/>
    <x v="0"/>
    <s v="No"/>
    <s v="Y"/>
    <n v="2"/>
    <n v="-2"/>
    <n v="0"/>
    <x v="7"/>
    <x v="1"/>
    <m/>
    <n v="0"/>
    <n v="1"/>
    <n v="317"/>
    <n v="2"/>
    <x v="3"/>
    <n v="1"/>
    <n v="3"/>
    <n v="43"/>
    <n v="1"/>
    <n v="2"/>
    <n v="2"/>
    <n v="6091"/>
    <n v="24793"/>
    <n v="2"/>
    <n v="20"/>
    <n v="4"/>
    <n v="3"/>
    <n v="80"/>
    <n v="0"/>
    <n v="11"/>
    <n v="3"/>
    <n v="5"/>
    <n v="4"/>
    <n v="0"/>
    <n v="2"/>
  </r>
  <r>
    <s v="No"/>
    <s v="Travel_Rarely"/>
    <x v="3"/>
    <s v="Current Employees"/>
    <x v="1"/>
    <x v="0"/>
    <x v="411"/>
    <x v="411"/>
    <x v="0"/>
    <x v="5"/>
    <x v="1"/>
    <s v="No"/>
    <s v="Y"/>
    <n v="5"/>
    <n v="-2"/>
    <n v="0"/>
    <x v="42"/>
    <x v="1"/>
    <m/>
    <n v="0"/>
    <n v="1"/>
    <n v="422"/>
    <n v="7"/>
    <x v="3"/>
    <n v="1"/>
    <n v="1"/>
    <n v="41"/>
    <n v="3"/>
    <n v="5"/>
    <n v="2"/>
    <n v="19566"/>
    <n v="3854"/>
    <n v="5"/>
    <n v="11"/>
    <n v="3"/>
    <n v="4"/>
    <n v="80"/>
    <n v="0"/>
    <n v="33"/>
    <n v="1"/>
    <n v="29"/>
    <n v="8"/>
    <n v="11"/>
    <n v="10"/>
  </r>
  <r>
    <s v="No"/>
    <s v="Travel_Rarely"/>
    <x v="1"/>
    <s v="Current Employees"/>
    <x v="1"/>
    <x v="2"/>
    <x v="412"/>
    <x v="412"/>
    <x v="0"/>
    <x v="3"/>
    <x v="2"/>
    <s v="No"/>
    <s v="Y"/>
    <n v="5"/>
    <n v="-2"/>
    <n v="0"/>
    <x v="21"/>
    <x v="1"/>
    <m/>
    <n v="0"/>
    <n v="1"/>
    <n v="1485"/>
    <n v="18"/>
    <x v="3"/>
    <n v="1"/>
    <n v="3"/>
    <n v="87"/>
    <n v="3"/>
    <n v="2"/>
    <n v="3"/>
    <n v="4810"/>
    <n v="26314"/>
    <n v="2"/>
    <n v="14"/>
    <n v="3"/>
    <n v="3"/>
    <n v="80"/>
    <n v="1"/>
    <n v="19"/>
    <n v="2"/>
    <n v="10"/>
    <n v="7"/>
    <n v="0"/>
    <n v="8"/>
  </r>
  <r>
    <s v="No"/>
    <s v="Travel_Frequently"/>
    <x v="0"/>
    <s v="Current Employees"/>
    <x v="1"/>
    <x v="4"/>
    <x v="413"/>
    <x v="413"/>
    <x v="0"/>
    <x v="4"/>
    <x v="1"/>
    <s v="No"/>
    <s v="Y"/>
    <n v="4"/>
    <n v="-2"/>
    <n v="0"/>
    <x v="19"/>
    <x v="1"/>
    <m/>
    <n v="0"/>
    <n v="1"/>
    <n v="1368"/>
    <n v="28"/>
    <x v="2"/>
    <n v="1"/>
    <n v="4"/>
    <n v="88"/>
    <n v="2"/>
    <n v="2"/>
    <n v="4"/>
    <n v="4523"/>
    <n v="4386"/>
    <n v="0"/>
    <n v="11"/>
    <n v="3"/>
    <n v="4"/>
    <n v="80"/>
    <n v="3"/>
    <n v="7"/>
    <n v="4"/>
    <n v="6"/>
    <n v="5"/>
    <n v="0"/>
    <n v="4"/>
  </r>
  <r>
    <s v="Yes"/>
    <s v="Travel_Rarely"/>
    <x v="4"/>
    <s v="Ex-Employees"/>
    <x v="0"/>
    <x v="4"/>
    <x v="414"/>
    <x v="414"/>
    <x v="0"/>
    <x v="6"/>
    <x v="0"/>
    <s v="Yes"/>
    <s v="Y"/>
    <n v="4"/>
    <n v="-2"/>
    <n v="0"/>
    <x v="17"/>
    <x v="0"/>
    <n v="1"/>
    <n v="1"/>
    <n v="0"/>
    <n v="1448"/>
    <n v="1"/>
    <x v="1"/>
    <n v="1"/>
    <n v="4"/>
    <n v="62"/>
    <n v="3"/>
    <n v="1"/>
    <n v="4"/>
    <n v="3202"/>
    <n v="21972"/>
    <n v="1"/>
    <n v="16"/>
    <n v="3"/>
    <n v="2"/>
    <n v="80"/>
    <n v="0"/>
    <n v="6"/>
    <n v="3"/>
    <n v="5"/>
    <n v="3"/>
    <n v="1"/>
    <n v="4"/>
  </r>
  <r>
    <s v="Yes"/>
    <s v="Travel_Frequently"/>
    <x v="2"/>
    <s v="Ex-Employees"/>
    <x v="0"/>
    <x v="3"/>
    <x v="415"/>
    <x v="415"/>
    <x v="0"/>
    <x v="6"/>
    <x v="2"/>
    <s v="No"/>
    <s v="Y"/>
    <n v="3"/>
    <n v="-2"/>
    <n v="0"/>
    <x v="13"/>
    <x v="0"/>
    <n v="1"/>
    <n v="1"/>
    <n v="0"/>
    <n v="296"/>
    <n v="6"/>
    <x v="0"/>
    <n v="1"/>
    <n v="4"/>
    <n v="33"/>
    <n v="1"/>
    <n v="1"/>
    <n v="1"/>
    <n v="2351"/>
    <n v="12253"/>
    <n v="0"/>
    <n v="16"/>
    <n v="3"/>
    <n v="4"/>
    <n v="80"/>
    <n v="1"/>
    <n v="3"/>
    <n v="2"/>
    <n v="2"/>
    <n v="2"/>
    <n v="1"/>
    <n v="0"/>
  </r>
  <r>
    <s v="No"/>
    <s v="Travel_Frequently"/>
    <x v="0"/>
    <s v="Current Employees"/>
    <x v="1"/>
    <x v="0"/>
    <x v="416"/>
    <x v="416"/>
    <x v="1"/>
    <x v="2"/>
    <x v="1"/>
    <s v="Yes"/>
    <s v="Y"/>
    <n v="3"/>
    <n v="-2"/>
    <n v="0"/>
    <x v="8"/>
    <x v="1"/>
    <m/>
    <n v="0"/>
    <n v="1"/>
    <n v="1490"/>
    <n v="2"/>
    <x v="0"/>
    <n v="1"/>
    <n v="4"/>
    <n v="42"/>
    <n v="3"/>
    <n v="1"/>
    <n v="2"/>
    <n v="1702"/>
    <n v="12106"/>
    <n v="1"/>
    <n v="23"/>
    <n v="4"/>
    <n v="3"/>
    <n v="80"/>
    <n v="1"/>
    <n v="1"/>
    <n v="3"/>
    <n v="1"/>
    <n v="0"/>
    <n v="0"/>
    <n v="0"/>
  </r>
  <r>
    <s v="No"/>
    <s v="Travel_Rarely"/>
    <x v="0"/>
    <s v="Current Employees"/>
    <x v="0"/>
    <x v="0"/>
    <x v="417"/>
    <x v="417"/>
    <x v="0"/>
    <x v="5"/>
    <x v="1"/>
    <s v="No"/>
    <s v="Y"/>
    <n v="2"/>
    <n v="-2"/>
    <n v="0"/>
    <x v="32"/>
    <x v="1"/>
    <m/>
    <n v="0"/>
    <n v="1"/>
    <n v="1398"/>
    <n v="2"/>
    <x v="2"/>
    <n v="1"/>
    <n v="3"/>
    <n v="79"/>
    <n v="3"/>
    <n v="5"/>
    <n v="2"/>
    <n v="18041"/>
    <n v="13022"/>
    <n v="0"/>
    <n v="14"/>
    <n v="3"/>
    <n v="4"/>
    <n v="80"/>
    <n v="0"/>
    <n v="21"/>
    <n v="3"/>
    <n v="20"/>
    <n v="15"/>
    <n v="1"/>
    <n v="12"/>
  </r>
  <r>
    <s v="No"/>
    <s v="Travel_Rarely"/>
    <x v="2"/>
    <s v="Current Employees"/>
    <x v="1"/>
    <x v="0"/>
    <x v="418"/>
    <x v="418"/>
    <x v="0"/>
    <x v="1"/>
    <x v="2"/>
    <s v="No"/>
    <s v="Y"/>
    <n v="3"/>
    <n v="-2"/>
    <n v="0"/>
    <x v="25"/>
    <x v="1"/>
    <m/>
    <n v="0"/>
    <n v="1"/>
    <n v="1349"/>
    <n v="23"/>
    <x v="3"/>
    <n v="1"/>
    <n v="1"/>
    <n v="90"/>
    <n v="3"/>
    <n v="1"/>
    <n v="2"/>
    <n v="2886"/>
    <n v="3032"/>
    <n v="1"/>
    <n v="22"/>
    <n v="4"/>
    <n v="2"/>
    <n v="80"/>
    <n v="2"/>
    <n v="3"/>
    <n v="1"/>
    <n v="3"/>
    <n v="2"/>
    <n v="0"/>
    <n v="2"/>
  </r>
  <r>
    <s v="No"/>
    <s v="Non-Travel"/>
    <x v="2"/>
    <s v="Current Employees"/>
    <x v="1"/>
    <x v="0"/>
    <x v="419"/>
    <x v="419"/>
    <x v="1"/>
    <x v="2"/>
    <x v="1"/>
    <s v="No"/>
    <s v="Y"/>
    <n v="3"/>
    <n v="-2"/>
    <n v="0"/>
    <x v="7"/>
    <x v="1"/>
    <m/>
    <n v="0"/>
    <n v="1"/>
    <n v="1400"/>
    <n v="3"/>
    <x v="3"/>
    <n v="1"/>
    <n v="3"/>
    <n v="53"/>
    <n v="3"/>
    <n v="1"/>
    <n v="2"/>
    <n v="2097"/>
    <n v="16734"/>
    <n v="4"/>
    <n v="15"/>
    <n v="3"/>
    <n v="3"/>
    <n v="80"/>
    <n v="1"/>
    <n v="9"/>
    <n v="1"/>
    <n v="5"/>
    <n v="3"/>
    <n v="1"/>
    <n v="4"/>
  </r>
  <r>
    <s v="No"/>
    <s v="Travel_Rarely"/>
    <x v="2"/>
    <s v="Current Employees"/>
    <x v="1"/>
    <x v="2"/>
    <x v="420"/>
    <x v="420"/>
    <x v="1"/>
    <x v="7"/>
    <x v="1"/>
    <s v="No"/>
    <s v="Y"/>
    <n v="2"/>
    <n v="-2"/>
    <n v="0"/>
    <x v="11"/>
    <x v="1"/>
    <m/>
    <n v="0"/>
    <n v="1"/>
    <n v="986"/>
    <n v="3"/>
    <x v="2"/>
    <n v="1"/>
    <n v="2"/>
    <n v="93"/>
    <n v="2"/>
    <n v="3"/>
    <n v="3"/>
    <n v="11935"/>
    <n v="21526"/>
    <n v="1"/>
    <n v="18"/>
    <n v="3"/>
    <n v="3"/>
    <n v="80"/>
    <n v="0"/>
    <n v="10"/>
    <n v="3"/>
    <n v="10"/>
    <n v="2"/>
    <n v="0"/>
    <n v="7"/>
  </r>
  <r>
    <s v="Yes"/>
    <s v="Travel_Rarely"/>
    <x v="2"/>
    <s v="Ex-Employees"/>
    <x v="1"/>
    <x v="4"/>
    <x v="421"/>
    <x v="421"/>
    <x v="0"/>
    <x v="1"/>
    <x v="1"/>
    <s v="No"/>
    <s v="Y"/>
    <n v="2"/>
    <n v="-2"/>
    <n v="0"/>
    <x v="11"/>
    <x v="0"/>
    <n v="1"/>
    <n v="1"/>
    <n v="0"/>
    <n v="408"/>
    <n v="25"/>
    <x v="4"/>
    <n v="1"/>
    <n v="4"/>
    <n v="71"/>
    <n v="2"/>
    <n v="1"/>
    <n v="4"/>
    <n v="2546"/>
    <n v="18300"/>
    <n v="5"/>
    <n v="16"/>
    <n v="3"/>
    <n v="2"/>
    <n v="80"/>
    <n v="0"/>
    <n v="6"/>
    <n v="4"/>
    <n v="2"/>
    <n v="2"/>
    <n v="1"/>
    <n v="1"/>
  </r>
  <r>
    <s v="Yes"/>
    <s v="Travel_Rarely"/>
    <x v="4"/>
    <s v="Ex-Employees"/>
    <x v="2"/>
    <x v="4"/>
    <x v="422"/>
    <x v="422"/>
    <x v="1"/>
    <x v="8"/>
    <x v="0"/>
    <s v="No"/>
    <s v="Y"/>
    <n v="3"/>
    <n v="-2"/>
    <n v="0"/>
    <x v="37"/>
    <x v="0"/>
    <n v="1"/>
    <n v="1"/>
    <n v="0"/>
    <n v="489"/>
    <n v="2"/>
    <x v="0"/>
    <n v="1"/>
    <n v="4"/>
    <n v="52"/>
    <n v="2"/>
    <n v="1"/>
    <n v="4"/>
    <n v="2564"/>
    <n v="18437"/>
    <n v="1"/>
    <n v="12"/>
    <n v="3"/>
    <n v="3"/>
    <n v="80"/>
    <n v="0"/>
    <n v="1"/>
    <n v="4"/>
    <n v="1"/>
    <n v="0"/>
    <n v="0"/>
    <n v="0"/>
  </r>
  <r>
    <s v="No"/>
    <s v="Non-Travel"/>
    <x v="2"/>
    <s v="Current Employees"/>
    <x v="0"/>
    <x v="1"/>
    <x v="423"/>
    <x v="423"/>
    <x v="0"/>
    <x v="0"/>
    <x v="1"/>
    <s v="No"/>
    <s v="Y"/>
    <n v="3"/>
    <n v="-2"/>
    <n v="0"/>
    <x v="7"/>
    <x v="1"/>
    <m/>
    <n v="0"/>
    <n v="1"/>
    <n v="1398"/>
    <n v="22"/>
    <x v="2"/>
    <n v="1"/>
    <n v="3"/>
    <n v="69"/>
    <n v="3"/>
    <n v="3"/>
    <n v="3"/>
    <n v="8412"/>
    <n v="2890"/>
    <n v="0"/>
    <n v="11"/>
    <n v="3"/>
    <n v="3"/>
    <n v="80"/>
    <n v="0"/>
    <n v="10"/>
    <n v="3"/>
    <n v="9"/>
    <n v="8"/>
    <n v="7"/>
    <n v="8"/>
  </r>
  <r>
    <s v="No"/>
    <s v="Travel_Rarely"/>
    <x v="3"/>
    <s v="Current Employees"/>
    <x v="0"/>
    <x v="3"/>
    <x v="424"/>
    <x v="424"/>
    <x v="1"/>
    <x v="5"/>
    <x v="2"/>
    <s v="No"/>
    <s v="Y"/>
    <n v="3"/>
    <n v="-2"/>
    <n v="0"/>
    <x v="38"/>
    <x v="1"/>
    <m/>
    <n v="0"/>
    <n v="1"/>
    <n v="210"/>
    <n v="29"/>
    <x v="3"/>
    <n v="1"/>
    <n v="1"/>
    <n v="56"/>
    <n v="2"/>
    <n v="4"/>
    <n v="1"/>
    <n v="14118"/>
    <n v="22102"/>
    <n v="3"/>
    <n v="12"/>
    <n v="3"/>
    <n v="3"/>
    <n v="80"/>
    <n v="1"/>
    <n v="32"/>
    <n v="2"/>
    <n v="1"/>
    <n v="0"/>
    <n v="0"/>
    <n v="0"/>
  </r>
  <r>
    <s v="No"/>
    <s v="Travel_Rarely"/>
    <x v="1"/>
    <s v="Current Employees"/>
    <x v="1"/>
    <x v="0"/>
    <x v="425"/>
    <x v="425"/>
    <x v="1"/>
    <x v="5"/>
    <x v="1"/>
    <s v="No"/>
    <s v="Y"/>
    <n v="2"/>
    <n v="-2"/>
    <n v="0"/>
    <x v="24"/>
    <x v="1"/>
    <m/>
    <n v="0"/>
    <n v="1"/>
    <n v="1099"/>
    <n v="29"/>
    <x v="2"/>
    <n v="1"/>
    <n v="2"/>
    <n v="88"/>
    <n v="2"/>
    <n v="4"/>
    <n v="2"/>
    <n v="17046"/>
    <n v="9314"/>
    <n v="0"/>
    <n v="15"/>
    <n v="3"/>
    <n v="2"/>
    <n v="80"/>
    <n v="1"/>
    <n v="28"/>
    <n v="3"/>
    <n v="27"/>
    <n v="10"/>
    <n v="15"/>
    <n v="7"/>
  </r>
  <r>
    <s v="No"/>
    <s v="Non-Travel"/>
    <x v="2"/>
    <s v="Current Employees"/>
    <x v="1"/>
    <x v="2"/>
    <x v="426"/>
    <x v="426"/>
    <x v="0"/>
    <x v="2"/>
    <x v="0"/>
    <s v="No"/>
    <s v="Y"/>
    <n v="2"/>
    <n v="-2"/>
    <n v="0"/>
    <x v="7"/>
    <x v="1"/>
    <m/>
    <n v="0"/>
    <n v="1"/>
    <n v="1116"/>
    <n v="2"/>
    <x v="3"/>
    <n v="1"/>
    <n v="3"/>
    <n v="49"/>
    <n v="3"/>
    <n v="1"/>
    <n v="4"/>
    <n v="2564"/>
    <n v="7181"/>
    <n v="0"/>
    <n v="14"/>
    <n v="3"/>
    <n v="3"/>
    <n v="80"/>
    <n v="0"/>
    <n v="12"/>
    <n v="2"/>
    <n v="11"/>
    <n v="7"/>
    <n v="6"/>
    <n v="7"/>
  </r>
  <r>
    <s v="No"/>
    <s v="Travel_Frequently"/>
    <x v="3"/>
    <s v="Current Employees"/>
    <x v="0"/>
    <x v="3"/>
    <x v="427"/>
    <x v="427"/>
    <x v="0"/>
    <x v="0"/>
    <x v="1"/>
    <s v="No"/>
    <s v="Y"/>
    <n v="5"/>
    <n v="-2"/>
    <n v="0"/>
    <x v="42"/>
    <x v="1"/>
    <m/>
    <n v="0"/>
    <n v="1"/>
    <n v="1499"/>
    <n v="28"/>
    <x v="3"/>
    <n v="1"/>
    <n v="3"/>
    <n v="80"/>
    <n v="2"/>
    <n v="3"/>
    <n v="1"/>
    <n v="10266"/>
    <n v="2845"/>
    <n v="4"/>
    <n v="19"/>
    <n v="3"/>
    <n v="4"/>
    <n v="80"/>
    <n v="0"/>
    <n v="22"/>
    <n v="4"/>
    <n v="18"/>
    <n v="13"/>
    <n v="13"/>
    <n v="11"/>
  </r>
  <r>
    <s v="No"/>
    <s v="Travel_Rarely"/>
    <x v="1"/>
    <s v="Current Employees"/>
    <x v="1"/>
    <x v="2"/>
    <x v="428"/>
    <x v="428"/>
    <x v="0"/>
    <x v="3"/>
    <x v="2"/>
    <s v="No"/>
    <s v="Y"/>
    <n v="2"/>
    <n v="-2"/>
    <n v="0"/>
    <x v="40"/>
    <x v="1"/>
    <m/>
    <n v="0"/>
    <n v="1"/>
    <n v="983"/>
    <n v="2"/>
    <x v="0"/>
    <n v="1"/>
    <n v="1"/>
    <n v="65"/>
    <n v="3"/>
    <n v="2"/>
    <n v="4"/>
    <n v="5070"/>
    <n v="7389"/>
    <n v="5"/>
    <n v="13"/>
    <n v="3"/>
    <n v="3"/>
    <n v="80"/>
    <n v="3"/>
    <n v="20"/>
    <n v="3"/>
    <n v="5"/>
    <n v="0"/>
    <n v="0"/>
    <n v="4"/>
  </r>
  <r>
    <s v="No"/>
    <s v="Travel_Rarely"/>
    <x v="1"/>
    <s v="Current Employees"/>
    <x v="1"/>
    <x v="0"/>
    <x v="429"/>
    <x v="429"/>
    <x v="1"/>
    <x v="7"/>
    <x v="1"/>
    <s v="No"/>
    <s v="Y"/>
    <n v="2"/>
    <n v="-2"/>
    <n v="0"/>
    <x v="21"/>
    <x v="1"/>
    <m/>
    <n v="0"/>
    <n v="1"/>
    <n v="1009"/>
    <n v="2"/>
    <x v="3"/>
    <n v="1"/>
    <n v="1"/>
    <n v="51"/>
    <n v="3"/>
    <n v="4"/>
    <n v="2"/>
    <n v="17861"/>
    <n v="2288"/>
    <n v="6"/>
    <n v="13"/>
    <n v="3"/>
    <n v="3"/>
    <n v="80"/>
    <n v="0"/>
    <n v="26"/>
    <n v="1"/>
    <n v="3"/>
    <n v="2"/>
    <n v="0"/>
    <n v="1"/>
  </r>
  <r>
    <s v="No"/>
    <s v="Travel_Rarely"/>
    <x v="0"/>
    <s v="Current Employees"/>
    <x v="1"/>
    <x v="0"/>
    <x v="430"/>
    <x v="430"/>
    <x v="1"/>
    <x v="2"/>
    <x v="0"/>
    <s v="No"/>
    <s v="Y"/>
    <n v="2"/>
    <n v="-2"/>
    <n v="0"/>
    <x v="10"/>
    <x v="1"/>
    <m/>
    <n v="0"/>
    <n v="1"/>
    <n v="144"/>
    <n v="22"/>
    <x v="3"/>
    <n v="1"/>
    <n v="4"/>
    <n v="46"/>
    <n v="1"/>
    <n v="1"/>
    <n v="2"/>
    <n v="4230"/>
    <n v="19225"/>
    <n v="0"/>
    <n v="15"/>
    <n v="3"/>
    <n v="3"/>
    <n v="80"/>
    <n v="0"/>
    <n v="6"/>
    <n v="3"/>
    <n v="5"/>
    <n v="4"/>
    <n v="4"/>
    <n v="3"/>
  </r>
  <r>
    <s v="No"/>
    <s v="Travel_Rarely"/>
    <x v="1"/>
    <s v="Current Employees"/>
    <x v="1"/>
    <x v="0"/>
    <x v="431"/>
    <x v="431"/>
    <x v="0"/>
    <x v="2"/>
    <x v="0"/>
    <s v="No"/>
    <s v="Y"/>
    <n v="3"/>
    <n v="-2"/>
    <n v="0"/>
    <x v="33"/>
    <x v="1"/>
    <m/>
    <n v="0"/>
    <n v="1"/>
    <n v="548"/>
    <n v="8"/>
    <x v="2"/>
    <n v="1"/>
    <n v="3"/>
    <n v="42"/>
    <n v="3"/>
    <n v="2"/>
    <n v="2"/>
    <n v="3780"/>
    <n v="23428"/>
    <n v="7"/>
    <n v="11"/>
    <n v="3"/>
    <n v="3"/>
    <n v="80"/>
    <n v="0"/>
    <n v="19"/>
    <n v="3"/>
    <n v="1"/>
    <n v="0"/>
    <n v="0"/>
    <n v="0"/>
  </r>
  <r>
    <s v="No"/>
    <s v="Travel_Rarely"/>
    <x v="2"/>
    <s v="Current Employees"/>
    <x v="1"/>
    <x v="0"/>
    <x v="432"/>
    <x v="432"/>
    <x v="1"/>
    <x v="1"/>
    <x v="2"/>
    <s v="No"/>
    <s v="Y"/>
    <n v="3"/>
    <n v="-2"/>
    <n v="0"/>
    <x v="13"/>
    <x v="1"/>
    <m/>
    <n v="0"/>
    <n v="1"/>
    <n v="1303"/>
    <n v="2"/>
    <x v="2"/>
    <n v="1"/>
    <n v="4"/>
    <n v="62"/>
    <n v="2"/>
    <n v="1"/>
    <n v="2"/>
    <n v="2768"/>
    <n v="8416"/>
    <n v="3"/>
    <n v="12"/>
    <n v="3"/>
    <n v="3"/>
    <n v="80"/>
    <n v="1"/>
    <n v="14"/>
    <n v="3"/>
    <n v="7"/>
    <n v="3"/>
    <n v="5"/>
    <n v="7"/>
  </r>
  <r>
    <s v="No"/>
    <s v="Travel_Rarely"/>
    <x v="1"/>
    <s v="Current Employees"/>
    <x v="0"/>
    <x v="3"/>
    <x v="433"/>
    <x v="433"/>
    <x v="0"/>
    <x v="0"/>
    <x v="1"/>
    <s v="Yes"/>
    <s v="Y"/>
    <n v="3"/>
    <n v="-2"/>
    <n v="0"/>
    <x v="21"/>
    <x v="1"/>
    <m/>
    <n v="0"/>
    <n v="1"/>
    <n v="1125"/>
    <n v="10"/>
    <x v="3"/>
    <n v="1"/>
    <n v="3"/>
    <n v="94"/>
    <n v="2"/>
    <n v="3"/>
    <n v="1"/>
    <n v="9071"/>
    <n v="11563"/>
    <n v="2"/>
    <n v="19"/>
    <n v="3"/>
    <n v="3"/>
    <n v="80"/>
    <n v="1"/>
    <n v="15"/>
    <n v="3"/>
    <n v="3"/>
    <n v="2"/>
    <n v="1"/>
    <n v="2"/>
  </r>
  <r>
    <s v="No"/>
    <s v="Travel_Rarely"/>
    <x v="2"/>
    <s v="Current Employees"/>
    <x v="1"/>
    <x v="0"/>
    <x v="434"/>
    <x v="434"/>
    <x v="1"/>
    <x v="3"/>
    <x v="2"/>
    <s v="No"/>
    <s v="Y"/>
    <n v="6"/>
    <n v="-2"/>
    <n v="0"/>
    <x v="12"/>
    <x v="1"/>
    <m/>
    <n v="0"/>
    <n v="1"/>
    <n v="1274"/>
    <n v="9"/>
    <x v="1"/>
    <n v="1"/>
    <n v="3"/>
    <n v="33"/>
    <n v="3"/>
    <n v="3"/>
    <n v="2"/>
    <n v="10648"/>
    <n v="14394"/>
    <n v="1"/>
    <n v="25"/>
    <n v="4"/>
    <n v="4"/>
    <n v="80"/>
    <n v="1"/>
    <n v="13"/>
    <n v="4"/>
    <n v="13"/>
    <n v="8"/>
    <n v="0"/>
    <n v="8"/>
  </r>
  <r>
    <s v="Yes"/>
    <s v="Travel_Rarely"/>
    <x v="2"/>
    <s v="Ex-Employees"/>
    <x v="1"/>
    <x v="2"/>
    <x v="435"/>
    <x v="435"/>
    <x v="1"/>
    <x v="5"/>
    <x v="1"/>
    <s v="Yes"/>
    <s v="Y"/>
    <n v="2"/>
    <n v="-2"/>
    <n v="0"/>
    <x v="3"/>
    <x v="0"/>
    <n v="1"/>
    <n v="1"/>
    <n v="0"/>
    <n v="1277"/>
    <n v="15"/>
    <x v="1"/>
    <n v="1"/>
    <n v="2"/>
    <n v="56"/>
    <n v="3"/>
    <n v="3"/>
    <n v="3"/>
    <n v="13610"/>
    <n v="24619"/>
    <n v="7"/>
    <n v="12"/>
    <n v="3"/>
    <n v="4"/>
    <n v="80"/>
    <n v="0"/>
    <n v="15"/>
    <n v="4"/>
    <n v="7"/>
    <n v="6"/>
    <n v="7"/>
    <n v="7"/>
  </r>
  <r>
    <s v="Yes"/>
    <s v="Travel_Rarely"/>
    <x v="2"/>
    <s v="Ex-Employees"/>
    <x v="1"/>
    <x v="2"/>
    <x v="436"/>
    <x v="436"/>
    <x v="1"/>
    <x v="2"/>
    <x v="2"/>
    <s v="No"/>
    <s v="Y"/>
    <n v="2"/>
    <n v="-2"/>
    <n v="0"/>
    <x v="3"/>
    <x v="0"/>
    <n v="1"/>
    <n v="1"/>
    <n v="0"/>
    <n v="587"/>
    <n v="10"/>
    <x v="1"/>
    <n v="1"/>
    <n v="1"/>
    <n v="38"/>
    <n v="1"/>
    <n v="1"/>
    <n v="4"/>
    <n v="3408"/>
    <n v="6705"/>
    <n v="7"/>
    <n v="13"/>
    <n v="3"/>
    <n v="1"/>
    <n v="80"/>
    <n v="3"/>
    <n v="8"/>
    <n v="3"/>
    <n v="4"/>
    <n v="3"/>
    <n v="1"/>
    <n v="3"/>
  </r>
  <r>
    <s v="No"/>
    <s v="Travel_Rarely"/>
    <x v="2"/>
    <s v="Current Employees"/>
    <x v="0"/>
    <x v="3"/>
    <x v="437"/>
    <x v="437"/>
    <x v="1"/>
    <x v="6"/>
    <x v="0"/>
    <s v="No"/>
    <s v="Y"/>
    <n v="3"/>
    <n v="-2"/>
    <n v="0"/>
    <x v="7"/>
    <x v="1"/>
    <m/>
    <n v="0"/>
    <n v="1"/>
    <n v="413"/>
    <n v="7"/>
    <x v="1"/>
    <n v="1"/>
    <n v="4"/>
    <n v="57"/>
    <n v="3"/>
    <n v="1"/>
    <n v="1"/>
    <n v="2983"/>
    <n v="18398"/>
    <n v="0"/>
    <n v="14"/>
    <n v="3"/>
    <n v="1"/>
    <n v="80"/>
    <n v="0"/>
    <n v="4"/>
    <n v="3"/>
    <n v="3"/>
    <n v="2"/>
    <n v="1"/>
    <n v="2"/>
  </r>
  <r>
    <s v="No"/>
    <s v="Travel_Rarely"/>
    <x v="0"/>
    <s v="Current Employees"/>
    <x v="1"/>
    <x v="0"/>
    <x v="438"/>
    <x v="438"/>
    <x v="1"/>
    <x v="4"/>
    <x v="1"/>
    <s v="Yes"/>
    <s v="Y"/>
    <n v="2"/>
    <n v="-2"/>
    <n v="0"/>
    <x v="10"/>
    <x v="1"/>
    <m/>
    <n v="0"/>
    <n v="1"/>
    <n v="1276"/>
    <n v="16"/>
    <x v="3"/>
    <n v="1"/>
    <n v="4"/>
    <n v="72"/>
    <n v="3"/>
    <n v="3"/>
    <n v="2"/>
    <n v="7632"/>
    <n v="14295"/>
    <n v="4"/>
    <n v="12"/>
    <n v="3"/>
    <n v="3"/>
    <n v="80"/>
    <n v="0"/>
    <n v="10"/>
    <n v="3"/>
    <n v="8"/>
    <n v="7"/>
    <n v="0"/>
    <n v="0"/>
  </r>
  <r>
    <s v="Yes"/>
    <s v="Travel_Frequently"/>
    <x v="2"/>
    <s v="Ex-Employees"/>
    <x v="1"/>
    <x v="0"/>
    <x v="439"/>
    <x v="439"/>
    <x v="1"/>
    <x v="4"/>
    <x v="1"/>
    <s v="No"/>
    <s v="Y"/>
    <n v="2"/>
    <n v="-2"/>
    <n v="0"/>
    <x v="12"/>
    <x v="0"/>
    <n v="1"/>
    <n v="1"/>
    <n v="0"/>
    <n v="534"/>
    <n v="20"/>
    <x v="3"/>
    <n v="1"/>
    <n v="1"/>
    <n v="66"/>
    <n v="3"/>
    <n v="3"/>
    <n v="2"/>
    <n v="9824"/>
    <n v="22908"/>
    <n v="3"/>
    <n v="12"/>
    <n v="3"/>
    <n v="1"/>
    <n v="80"/>
    <n v="0"/>
    <n v="12"/>
    <n v="3"/>
    <n v="1"/>
    <n v="0"/>
    <n v="0"/>
    <n v="0"/>
  </r>
  <r>
    <s v="Yes"/>
    <s v="Travel_Frequently"/>
    <x v="2"/>
    <s v="Ex-Employees"/>
    <x v="2"/>
    <x v="5"/>
    <x v="440"/>
    <x v="440"/>
    <x v="0"/>
    <x v="8"/>
    <x v="2"/>
    <s v="Yes"/>
    <s v="Y"/>
    <n v="2"/>
    <n v="-2"/>
    <n v="0"/>
    <x v="13"/>
    <x v="0"/>
    <n v="1"/>
    <n v="1"/>
    <n v="0"/>
    <n v="988"/>
    <n v="23"/>
    <x v="3"/>
    <n v="1"/>
    <n v="2"/>
    <n v="43"/>
    <n v="3"/>
    <n v="3"/>
    <n v="3"/>
    <n v="9950"/>
    <n v="11533"/>
    <n v="9"/>
    <n v="15"/>
    <n v="3"/>
    <n v="3"/>
    <n v="80"/>
    <n v="3"/>
    <n v="11"/>
    <n v="3"/>
    <n v="3"/>
    <n v="2"/>
    <n v="0"/>
    <n v="2"/>
  </r>
  <r>
    <s v="No"/>
    <s v="Travel_Frequently"/>
    <x v="0"/>
    <s v="Current Employees"/>
    <x v="1"/>
    <x v="1"/>
    <x v="441"/>
    <x v="441"/>
    <x v="1"/>
    <x v="2"/>
    <x v="1"/>
    <s v="No"/>
    <s v="Y"/>
    <n v="4"/>
    <n v="-2"/>
    <n v="0"/>
    <x v="19"/>
    <x v="1"/>
    <m/>
    <n v="0"/>
    <n v="1"/>
    <n v="1474"/>
    <n v="5"/>
    <x v="0"/>
    <n v="1"/>
    <n v="2"/>
    <n v="97"/>
    <n v="3"/>
    <n v="1"/>
    <n v="3"/>
    <n v="2093"/>
    <n v="9260"/>
    <n v="4"/>
    <n v="17"/>
    <n v="3"/>
    <n v="4"/>
    <n v="80"/>
    <n v="1"/>
    <n v="8"/>
    <n v="3"/>
    <n v="2"/>
    <n v="2"/>
    <n v="2"/>
    <n v="0"/>
  </r>
  <r>
    <s v="No"/>
    <s v="Non-Travel"/>
    <x v="0"/>
    <s v="Current Employees"/>
    <x v="0"/>
    <x v="2"/>
    <x v="442"/>
    <x v="442"/>
    <x v="1"/>
    <x v="0"/>
    <x v="0"/>
    <s v="No"/>
    <s v="Y"/>
    <n v="3"/>
    <n v="-2"/>
    <n v="0"/>
    <x v="9"/>
    <x v="1"/>
    <m/>
    <n v="0"/>
    <n v="1"/>
    <n v="635"/>
    <n v="10"/>
    <x v="2"/>
    <n v="1"/>
    <n v="2"/>
    <n v="32"/>
    <n v="3"/>
    <n v="3"/>
    <n v="4"/>
    <n v="9980"/>
    <n v="15318"/>
    <n v="1"/>
    <n v="14"/>
    <n v="3"/>
    <n v="4"/>
    <n v="80"/>
    <n v="0"/>
    <n v="10"/>
    <n v="2"/>
    <n v="10"/>
    <n v="3"/>
    <n v="9"/>
    <n v="7"/>
  </r>
  <r>
    <s v="Yes"/>
    <s v="Travel_Frequently"/>
    <x v="4"/>
    <s v="Ex-Employees"/>
    <x v="1"/>
    <x v="4"/>
    <x v="443"/>
    <x v="443"/>
    <x v="1"/>
    <x v="2"/>
    <x v="0"/>
    <s v="No"/>
    <s v="Y"/>
    <n v="3"/>
    <n v="-2"/>
    <n v="0"/>
    <x v="15"/>
    <x v="0"/>
    <n v="1"/>
    <n v="1"/>
    <n v="0"/>
    <n v="1368"/>
    <n v="4"/>
    <x v="1"/>
    <n v="1"/>
    <n v="4"/>
    <n v="99"/>
    <n v="2"/>
    <n v="1"/>
    <n v="4"/>
    <n v="3894"/>
    <n v="9129"/>
    <n v="5"/>
    <n v="16"/>
    <n v="3"/>
    <n v="3"/>
    <n v="80"/>
    <n v="0"/>
    <n v="4"/>
    <n v="3"/>
    <n v="2"/>
    <n v="2"/>
    <n v="1"/>
    <n v="2"/>
  </r>
  <r>
    <s v="No"/>
    <s v="Travel_Rarely"/>
    <x v="1"/>
    <s v="Current Employees"/>
    <x v="0"/>
    <x v="3"/>
    <x v="444"/>
    <x v="444"/>
    <x v="0"/>
    <x v="0"/>
    <x v="1"/>
    <s v="No"/>
    <s v="Y"/>
    <n v="2"/>
    <n v="-2"/>
    <n v="0"/>
    <x v="26"/>
    <x v="1"/>
    <m/>
    <n v="0"/>
    <n v="1"/>
    <n v="163"/>
    <n v="2"/>
    <x v="4"/>
    <n v="1"/>
    <n v="2"/>
    <n v="37"/>
    <n v="3"/>
    <n v="2"/>
    <n v="1"/>
    <n v="4051"/>
    <n v="19658"/>
    <n v="2"/>
    <n v="14"/>
    <n v="3"/>
    <n v="1"/>
    <n v="80"/>
    <n v="1"/>
    <n v="14"/>
    <n v="3"/>
    <n v="9"/>
    <n v="7"/>
    <n v="6"/>
    <n v="7"/>
  </r>
  <r>
    <s v="No"/>
    <s v="Travel_Rarely"/>
    <x v="3"/>
    <s v="Current Employees"/>
    <x v="0"/>
    <x v="0"/>
    <x v="445"/>
    <x v="445"/>
    <x v="0"/>
    <x v="5"/>
    <x v="0"/>
    <s v="No"/>
    <s v="Y"/>
    <n v="2"/>
    <n v="-2"/>
    <n v="0"/>
    <x v="27"/>
    <x v="1"/>
    <m/>
    <n v="0"/>
    <n v="1"/>
    <n v="1117"/>
    <n v="18"/>
    <x v="4"/>
    <n v="1"/>
    <n v="1"/>
    <n v="83"/>
    <n v="3"/>
    <n v="4"/>
    <n v="2"/>
    <n v="16835"/>
    <n v="9873"/>
    <n v="3"/>
    <n v="23"/>
    <n v="4"/>
    <n v="4"/>
    <n v="80"/>
    <n v="0"/>
    <n v="37"/>
    <n v="3"/>
    <n v="10"/>
    <n v="9"/>
    <n v="7"/>
    <n v="7"/>
  </r>
  <r>
    <s v="No"/>
    <s v="Non-Travel"/>
    <x v="0"/>
    <s v="Current Employees"/>
    <x v="0"/>
    <x v="0"/>
    <x v="446"/>
    <x v="446"/>
    <x v="1"/>
    <x v="0"/>
    <x v="0"/>
    <s v="No"/>
    <s v="Y"/>
    <n v="3"/>
    <n v="-2"/>
    <n v="0"/>
    <x v="0"/>
    <x v="1"/>
    <m/>
    <n v="0"/>
    <n v="1"/>
    <n v="267"/>
    <n v="10"/>
    <x v="0"/>
    <n v="1"/>
    <n v="4"/>
    <n v="56"/>
    <n v="3"/>
    <n v="2"/>
    <n v="2"/>
    <n v="6230"/>
    <n v="13430"/>
    <n v="7"/>
    <n v="14"/>
    <n v="3"/>
    <n v="4"/>
    <n v="80"/>
    <n v="0"/>
    <n v="16"/>
    <n v="3"/>
    <n v="14"/>
    <n v="3"/>
    <n v="1"/>
    <n v="10"/>
  </r>
  <r>
    <s v="No"/>
    <s v="Travel_Rarely"/>
    <x v="0"/>
    <s v="Current Employees"/>
    <x v="0"/>
    <x v="3"/>
    <x v="447"/>
    <x v="447"/>
    <x v="1"/>
    <x v="0"/>
    <x v="1"/>
    <s v="No"/>
    <s v="Y"/>
    <n v="2"/>
    <n v="-2"/>
    <n v="0"/>
    <x v="10"/>
    <x v="1"/>
    <m/>
    <n v="0"/>
    <n v="1"/>
    <n v="619"/>
    <n v="1"/>
    <x v="3"/>
    <n v="1"/>
    <n v="2"/>
    <n v="85"/>
    <n v="3"/>
    <n v="2"/>
    <n v="1"/>
    <n v="4717"/>
    <n v="18659"/>
    <n v="9"/>
    <n v="11"/>
    <n v="3"/>
    <n v="3"/>
    <n v="80"/>
    <n v="0"/>
    <n v="15"/>
    <n v="3"/>
    <n v="11"/>
    <n v="9"/>
    <n v="6"/>
    <n v="9"/>
  </r>
  <r>
    <s v="No"/>
    <s v="Travel_Rarely"/>
    <x v="0"/>
    <s v="Current Employees"/>
    <x v="1"/>
    <x v="0"/>
    <x v="448"/>
    <x v="448"/>
    <x v="0"/>
    <x v="3"/>
    <x v="0"/>
    <s v="No"/>
    <s v="Y"/>
    <n v="3"/>
    <n v="-2"/>
    <n v="0"/>
    <x v="32"/>
    <x v="1"/>
    <m/>
    <n v="0"/>
    <n v="1"/>
    <n v="302"/>
    <n v="6"/>
    <x v="3"/>
    <n v="1"/>
    <n v="2"/>
    <n v="75"/>
    <n v="3"/>
    <n v="4"/>
    <n v="2"/>
    <n v="13237"/>
    <n v="20364"/>
    <n v="7"/>
    <n v="15"/>
    <n v="3"/>
    <n v="3"/>
    <n v="80"/>
    <n v="0"/>
    <n v="22"/>
    <n v="3"/>
    <n v="20"/>
    <n v="6"/>
    <n v="5"/>
    <n v="13"/>
  </r>
  <r>
    <s v="No"/>
    <s v="Travel_Frequently"/>
    <x v="0"/>
    <s v="Current Employees"/>
    <x v="1"/>
    <x v="0"/>
    <x v="449"/>
    <x v="449"/>
    <x v="0"/>
    <x v="2"/>
    <x v="1"/>
    <s v="No"/>
    <s v="Y"/>
    <n v="3"/>
    <n v="-2"/>
    <n v="0"/>
    <x v="22"/>
    <x v="1"/>
    <m/>
    <n v="0"/>
    <n v="1"/>
    <n v="443"/>
    <n v="8"/>
    <x v="1"/>
    <n v="1"/>
    <n v="3"/>
    <n v="48"/>
    <n v="3"/>
    <n v="1"/>
    <n v="2"/>
    <n v="3755"/>
    <n v="17872"/>
    <n v="1"/>
    <n v="11"/>
    <n v="3"/>
    <n v="1"/>
    <n v="80"/>
    <n v="1"/>
    <n v="8"/>
    <n v="3"/>
    <n v="8"/>
    <n v="3"/>
    <n v="0"/>
    <n v="7"/>
  </r>
  <r>
    <s v="No"/>
    <s v="Travel_Rarely"/>
    <x v="2"/>
    <s v="Current Employees"/>
    <x v="0"/>
    <x v="0"/>
    <x v="450"/>
    <x v="450"/>
    <x v="1"/>
    <x v="0"/>
    <x v="0"/>
    <s v="Yes"/>
    <s v="Y"/>
    <n v="2"/>
    <n v="-2"/>
    <n v="0"/>
    <x v="12"/>
    <x v="1"/>
    <m/>
    <n v="0"/>
    <n v="1"/>
    <n v="828"/>
    <n v="2"/>
    <x v="1"/>
    <n v="1"/>
    <n v="2"/>
    <n v="77"/>
    <n v="3"/>
    <n v="2"/>
    <n v="2"/>
    <n v="6582"/>
    <n v="8346"/>
    <n v="4"/>
    <n v="13"/>
    <n v="3"/>
    <n v="3"/>
    <n v="80"/>
    <n v="0"/>
    <n v="10"/>
    <n v="4"/>
    <n v="6"/>
    <n v="5"/>
    <n v="0"/>
    <n v="5"/>
  </r>
  <r>
    <s v="No"/>
    <s v="Travel_Rarely"/>
    <x v="0"/>
    <s v="Current Employees"/>
    <x v="1"/>
    <x v="2"/>
    <x v="451"/>
    <x v="451"/>
    <x v="1"/>
    <x v="3"/>
    <x v="1"/>
    <s v="Yes"/>
    <s v="Y"/>
    <n v="5"/>
    <n v="-2"/>
    <n v="0"/>
    <x v="19"/>
    <x v="1"/>
    <m/>
    <n v="0"/>
    <n v="1"/>
    <n v="319"/>
    <n v="24"/>
    <x v="3"/>
    <n v="1"/>
    <n v="4"/>
    <n v="56"/>
    <n v="3"/>
    <n v="3"/>
    <n v="3"/>
    <n v="7406"/>
    <n v="6950"/>
    <n v="1"/>
    <n v="21"/>
    <n v="4"/>
    <n v="4"/>
    <n v="80"/>
    <n v="1"/>
    <n v="10"/>
    <n v="2"/>
    <n v="10"/>
    <n v="9"/>
    <n v="5"/>
    <n v="8"/>
  </r>
  <r>
    <s v="No"/>
    <s v="Travel_Rarely"/>
    <x v="1"/>
    <s v="Current Employees"/>
    <x v="0"/>
    <x v="1"/>
    <x v="452"/>
    <x v="452"/>
    <x v="1"/>
    <x v="0"/>
    <x v="1"/>
    <s v="No"/>
    <s v="Y"/>
    <n v="3"/>
    <n v="-2"/>
    <n v="0"/>
    <x v="28"/>
    <x v="1"/>
    <m/>
    <n v="0"/>
    <n v="1"/>
    <n v="561"/>
    <n v="2"/>
    <x v="3"/>
    <n v="1"/>
    <n v="4"/>
    <n v="61"/>
    <n v="3"/>
    <n v="2"/>
    <n v="3"/>
    <n v="4805"/>
    <n v="16177"/>
    <n v="0"/>
    <n v="19"/>
    <n v="3"/>
    <n v="2"/>
    <n v="80"/>
    <n v="1"/>
    <n v="9"/>
    <n v="4"/>
    <n v="8"/>
    <n v="7"/>
    <n v="3"/>
    <n v="7"/>
  </r>
  <r>
    <s v="Yes"/>
    <s v="Travel_Frequently"/>
    <x v="2"/>
    <s v="Ex-Employees"/>
    <x v="2"/>
    <x v="0"/>
    <x v="453"/>
    <x v="453"/>
    <x v="0"/>
    <x v="8"/>
    <x v="2"/>
    <s v="Yes"/>
    <s v="Y"/>
    <n v="2"/>
    <n v="-2"/>
    <n v="0"/>
    <x v="25"/>
    <x v="0"/>
    <n v="1"/>
    <n v="1"/>
    <n v="0"/>
    <n v="426"/>
    <n v="17"/>
    <x v="2"/>
    <n v="1"/>
    <n v="2"/>
    <n v="58"/>
    <n v="3"/>
    <n v="1"/>
    <n v="2"/>
    <n v="2741"/>
    <n v="22808"/>
    <n v="0"/>
    <n v="11"/>
    <n v="3"/>
    <n v="2"/>
    <n v="80"/>
    <n v="1"/>
    <n v="8"/>
    <n v="2"/>
    <n v="7"/>
    <n v="7"/>
    <n v="1"/>
    <n v="0"/>
  </r>
  <r>
    <s v="No"/>
    <s v="Travel_Rarely"/>
    <x v="2"/>
    <s v="Current Employees"/>
    <x v="1"/>
    <x v="4"/>
    <x v="454"/>
    <x v="454"/>
    <x v="1"/>
    <x v="3"/>
    <x v="2"/>
    <s v="No"/>
    <s v="Y"/>
    <n v="2"/>
    <n v="-2"/>
    <n v="0"/>
    <x v="11"/>
    <x v="1"/>
    <m/>
    <n v="0"/>
    <n v="1"/>
    <n v="232"/>
    <n v="19"/>
    <x v="3"/>
    <n v="1"/>
    <n v="4"/>
    <n v="34"/>
    <n v="3"/>
    <n v="2"/>
    <n v="4"/>
    <n v="4262"/>
    <n v="22645"/>
    <n v="4"/>
    <n v="12"/>
    <n v="3"/>
    <n v="2"/>
    <n v="80"/>
    <n v="2"/>
    <n v="8"/>
    <n v="4"/>
    <n v="3"/>
    <n v="2"/>
    <n v="1"/>
    <n v="2"/>
  </r>
  <r>
    <s v="No"/>
    <s v="Travel_Rarely"/>
    <x v="2"/>
    <s v="Current Employees"/>
    <x v="1"/>
    <x v="2"/>
    <x v="455"/>
    <x v="455"/>
    <x v="0"/>
    <x v="7"/>
    <x v="2"/>
    <s v="No"/>
    <s v="Y"/>
    <n v="2"/>
    <n v="-2"/>
    <n v="0"/>
    <x v="3"/>
    <x v="1"/>
    <m/>
    <n v="0"/>
    <n v="1"/>
    <n v="922"/>
    <n v="1"/>
    <x v="4"/>
    <n v="1"/>
    <n v="1"/>
    <n v="95"/>
    <n v="4"/>
    <n v="4"/>
    <n v="3"/>
    <n v="16184"/>
    <n v="22578"/>
    <n v="4"/>
    <n v="19"/>
    <n v="3"/>
    <n v="3"/>
    <n v="80"/>
    <n v="1"/>
    <n v="10"/>
    <n v="3"/>
    <n v="6"/>
    <n v="1"/>
    <n v="0"/>
    <n v="5"/>
  </r>
  <r>
    <s v="No"/>
    <s v="Travel_Rarely"/>
    <x v="2"/>
    <s v="Current Employees"/>
    <x v="0"/>
    <x v="0"/>
    <x v="456"/>
    <x v="456"/>
    <x v="1"/>
    <x v="5"/>
    <x v="2"/>
    <s v="No"/>
    <s v="Y"/>
    <n v="3"/>
    <n v="-2"/>
    <n v="0"/>
    <x v="12"/>
    <x v="1"/>
    <m/>
    <n v="0"/>
    <n v="1"/>
    <n v="688"/>
    <n v="7"/>
    <x v="3"/>
    <n v="1"/>
    <n v="3"/>
    <n v="44"/>
    <n v="2"/>
    <n v="3"/>
    <n v="2"/>
    <n v="11557"/>
    <n v="25291"/>
    <n v="9"/>
    <n v="21"/>
    <n v="4"/>
    <n v="3"/>
    <n v="80"/>
    <n v="1"/>
    <n v="10"/>
    <n v="2"/>
    <n v="5"/>
    <n v="4"/>
    <n v="0"/>
    <n v="1"/>
  </r>
  <r>
    <s v="Yes"/>
    <s v="Travel_Frequently"/>
    <x v="4"/>
    <s v="Ex-Employees"/>
    <x v="0"/>
    <x v="3"/>
    <x v="457"/>
    <x v="457"/>
    <x v="1"/>
    <x v="6"/>
    <x v="0"/>
    <s v="Yes"/>
    <s v="Y"/>
    <n v="3"/>
    <n v="-2"/>
    <n v="0"/>
    <x v="41"/>
    <x v="0"/>
    <n v="1"/>
    <n v="1"/>
    <n v="0"/>
    <n v="1306"/>
    <n v="5"/>
    <x v="3"/>
    <n v="1"/>
    <n v="2"/>
    <n v="69"/>
    <n v="3"/>
    <n v="1"/>
    <n v="1"/>
    <n v="1878"/>
    <n v="8059"/>
    <n v="1"/>
    <n v="14"/>
    <n v="3"/>
    <n v="4"/>
    <n v="80"/>
    <n v="0"/>
    <n v="0"/>
    <n v="3"/>
    <n v="0"/>
    <n v="0"/>
    <n v="0"/>
    <n v="0"/>
  </r>
  <r>
    <s v="No"/>
    <s v="Non-Travel"/>
    <x v="0"/>
    <s v="Current Employees"/>
    <x v="0"/>
    <x v="1"/>
    <x v="458"/>
    <x v="458"/>
    <x v="1"/>
    <x v="0"/>
    <x v="2"/>
    <s v="No"/>
    <s v="Y"/>
    <n v="2"/>
    <n v="-2"/>
    <n v="0"/>
    <x v="32"/>
    <x v="1"/>
    <m/>
    <n v="0"/>
    <n v="1"/>
    <n v="1094"/>
    <n v="28"/>
    <x v="3"/>
    <n v="1"/>
    <n v="3"/>
    <n v="58"/>
    <n v="1"/>
    <n v="3"/>
    <n v="3"/>
    <n v="10932"/>
    <n v="11373"/>
    <n v="3"/>
    <n v="15"/>
    <n v="3"/>
    <n v="3"/>
    <n v="80"/>
    <n v="1"/>
    <n v="20"/>
    <n v="3"/>
    <n v="1"/>
    <n v="0"/>
    <n v="0"/>
    <n v="1"/>
  </r>
  <r>
    <s v="No"/>
    <s v="Non-Travel"/>
    <x v="0"/>
    <s v="Current Employees"/>
    <x v="1"/>
    <x v="1"/>
    <x v="459"/>
    <x v="459"/>
    <x v="0"/>
    <x v="4"/>
    <x v="0"/>
    <s v="Yes"/>
    <s v="Y"/>
    <n v="3"/>
    <n v="-2"/>
    <n v="0"/>
    <x v="0"/>
    <x v="1"/>
    <m/>
    <n v="0"/>
    <n v="1"/>
    <n v="509"/>
    <n v="2"/>
    <x v="2"/>
    <n v="1"/>
    <n v="1"/>
    <n v="62"/>
    <n v="2"/>
    <n v="2"/>
    <n v="3"/>
    <n v="6811"/>
    <n v="2112"/>
    <n v="2"/>
    <n v="17"/>
    <n v="3"/>
    <n v="1"/>
    <n v="80"/>
    <n v="0"/>
    <n v="10"/>
    <n v="3"/>
    <n v="8"/>
    <n v="7"/>
    <n v="0"/>
    <n v="7"/>
  </r>
  <r>
    <s v="No"/>
    <s v="Travel_Rarely"/>
    <x v="2"/>
    <s v="Current Employees"/>
    <x v="0"/>
    <x v="2"/>
    <x v="460"/>
    <x v="460"/>
    <x v="1"/>
    <x v="0"/>
    <x v="2"/>
    <s v="No"/>
    <s v="Y"/>
    <n v="5"/>
    <n v="-2"/>
    <n v="0"/>
    <x v="25"/>
    <x v="1"/>
    <m/>
    <n v="0"/>
    <n v="1"/>
    <n v="775"/>
    <n v="29"/>
    <x v="0"/>
    <n v="1"/>
    <n v="1"/>
    <n v="45"/>
    <n v="3"/>
    <n v="2"/>
    <n v="3"/>
    <n v="4306"/>
    <n v="4267"/>
    <n v="5"/>
    <n v="12"/>
    <n v="3"/>
    <n v="1"/>
    <n v="80"/>
    <n v="2"/>
    <n v="8"/>
    <n v="3"/>
    <n v="0"/>
    <n v="0"/>
    <n v="0"/>
    <n v="0"/>
  </r>
  <r>
    <s v="No"/>
    <s v="Travel_Rarely"/>
    <x v="0"/>
    <s v="Current Employees"/>
    <x v="0"/>
    <x v="2"/>
    <x v="461"/>
    <x v="461"/>
    <x v="0"/>
    <x v="0"/>
    <x v="0"/>
    <s v="No"/>
    <s v="Y"/>
    <n v="3"/>
    <n v="-2"/>
    <n v="0"/>
    <x v="10"/>
    <x v="1"/>
    <m/>
    <n v="0"/>
    <n v="1"/>
    <n v="195"/>
    <n v="1"/>
    <x v="3"/>
    <n v="1"/>
    <n v="1"/>
    <n v="80"/>
    <n v="3"/>
    <n v="2"/>
    <n v="3"/>
    <n v="4859"/>
    <n v="6698"/>
    <n v="1"/>
    <n v="16"/>
    <n v="3"/>
    <n v="4"/>
    <n v="80"/>
    <n v="0"/>
    <n v="5"/>
    <n v="3"/>
    <n v="5"/>
    <n v="4"/>
    <n v="0"/>
    <n v="3"/>
  </r>
  <r>
    <s v="No"/>
    <s v="Travel_Rarely"/>
    <x v="2"/>
    <s v="Current Employees"/>
    <x v="0"/>
    <x v="0"/>
    <x v="462"/>
    <x v="462"/>
    <x v="1"/>
    <x v="0"/>
    <x v="0"/>
    <s v="No"/>
    <s v="Y"/>
    <n v="3"/>
    <n v="-2"/>
    <n v="0"/>
    <x v="13"/>
    <x v="1"/>
    <m/>
    <n v="0"/>
    <n v="1"/>
    <n v="258"/>
    <n v="21"/>
    <x v="2"/>
    <n v="1"/>
    <n v="4"/>
    <n v="74"/>
    <n v="4"/>
    <n v="2"/>
    <n v="2"/>
    <n v="5337"/>
    <n v="19921"/>
    <n v="1"/>
    <n v="12"/>
    <n v="3"/>
    <n v="4"/>
    <n v="80"/>
    <n v="0"/>
    <n v="10"/>
    <n v="3"/>
    <n v="10"/>
    <n v="7"/>
    <n v="5"/>
    <n v="7"/>
  </r>
  <r>
    <s v="Yes"/>
    <s v="Travel_Rarely"/>
    <x v="2"/>
    <s v="Ex-Employees"/>
    <x v="1"/>
    <x v="4"/>
    <x v="463"/>
    <x v="463"/>
    <x v="1"/>
    <x v="2"/>
    <x v="0"/>
    <s v="Yes"/>
    <s v="Y"/>
    <n v="3"/>
    <n v="-2"/>
    <n v="0"/>
    <x v="25"/>
    <x v="0"/>
    <n v="1"/>
    <n v="1"/>
    <n v="0"/>
    <n v="471"/>
    <n v="24"/>
    <x v="3"/>
    <n v="1"/>
    <n v="4"/>
    <n v="66"/>
    <n v="1"/>
    <n v="1"/>
    <n v="4"/>
    <n v="2340"/>
    <n v="23213"/>
    <n v="1"/>
    <n v="18"/>
    <n v="3"/>
    <n v="2"/>
    <n v="80"/>
    <n v="0"/>
    <n v="1"/>
    <n v="1"/>
    <n v="1"/>
    <n v="0"/>
    <n v="0"/>
    <n v="0"/>
  </r>
  <r>
    <s v="No"/>
    <s v="Travel_Rarely"/>
    <x v="0"/>
    <s v="Current Employees"/>
    <x v="1"/>
    <x v="4"/>
    <x v="464"/>
    <x v="464"/>
    <x v="0"/>
    <x v="3"/>
    <x v="0"/>
    <s v="No"/>
    <s v="Y"/>
    <n v="3"/>
    <n v="-2"/>
    <n v="0"/>
    <x v="2"/>
    <x v="1"/>
    <m/>
    <n v="0"/>
    <n v="1"/>
    <n v="799"/>
    <n v="1"/>
    <x v="3"/>
    <n v="1"/>
    <n v="4"/>
    <n v="59"/>
    <n v="3"/>
    <n v="3"/>
    <n v="4"/>
    <n v="7491"/>
    <n v="23848"/>
    <n v="4"/>
    <n v="17"/>
    <n v="3"/>
    <n v="4"/>
    <n v="80"/>
    <n v="0"/>
    <n v="12"/>
    <n v="4"/>
    <n v="6"/>
    <n v="5"/>
    <n v="1"/>
    <n v="2"/>
  </r>
  <r>
    <s v="No"/>
    <s v="Travel_Frequently"/>
    <x v="1"/>
    <s v="Current Employees"/>
    <x v="1"/>
    <x v="2"/>
    <x v="465"/>
    <x v="465"/>
    <x v="0"/>
    <x v="4"/>
    <x v="1"/>
    <s v="No"/>
    <s v="Y"/>
    <n v="3"/>
    <n v="-2"/>
    <n v="0"/>
    <x v="21"/>
    <x v="1"/>
    <m/>
    <n v="0"/>
    <n v="1"/>
    <n v="1034"/>
    <n v="18"/>
    <x v="1"/>
    <n v="1"/>
    <n v="1"/>
    <n v="86"/>
    <n v="3"/>
    <n v="3"/>
    <n v="3"/>
    <n v="10527"/>
    <n v="8984"/>
    <n v="5"/>
    <n v="11"/>
    <n v="3"/>
    <n v="4"/>
    <n v="80"/>
    <n v="0"/>
    <n v="28"/>
    <n v="2"/>
    <n v="2"/>
    <n v="2"/>
    <n v="1"/>
    <n v="2"/>
  </r>
  <r>
    <s v="No"/>
    <s v="Travel_Rarely"/>
    <x v="0"/>
    <s v="Current Employees"/>
    <x v="0"/>
    <x v="0"/>
    <x v="466"/>
    <x v="466"/>
    <x v="0"/>
    <x v="5"/>
    <x v="1"/>
    <s v="No"/>
    <s v="Y"/>
    <n v="2"/>
    <n v="-2"/>
    <n v="0"/>
    <x v="0"/>
    <x v="1"/>
    <m/>
    <n v="0"/>
    <n v="1"/>
    <n v="1276"/>
    <n v="2"/>
    <x v="4"/>
    <n v="1"/>
    <n v="2"/>
    <n v="91"/>
    <n v="3"/>
    <n v="4"/>
    <n v="2"/>
    <n v="16595"/>
    <n v="5626"/>
    <n v="7"/>
    <n v="16"/>
    <n v="3"/>
    <n v="2"/>
    <n v="80"/>
    <n v="1"/>
    <n v="22"/>
    <n v="3"/>
    <n v="18"/>
    <n v="16"/>
    <n v="11"/>
    <n v="8"/>
  </r>
  <r>
    <s v="No"/>
    <s v="Non-Travel"/>
    <x v="0"/>
    <s v="Current Employees"/>
    <x v="0"/>
    <x v="2"/>
    <x v="467"/>
    <x v="467"/>
    <x v="1"/>
    <x v="0"/>
    <x v="2"/>
    <s v="No"/>
    <s v="Y"/>
    <n v="6"/>
    <n v="-2"/>
    <n v="0"/>
    <x v="2"/>
    <x v="1"/>
    <m/>
    <n v="0"/>
    <n v="1"/>
    <n v="142"/>
    <n v="9"/>
    <x v="2"/>
    <n v="1"/>
    <n v="1"/>
    <n v="69"/>
    <n v="3"/>
    <n v="3"/>
    <n v="3"/>
    <n v="8834"/>
    <n v="24666"/>
    <n v="1"/>
    <n v="13"/>
    <n v="3"/>
    <n v="4"/>
    <n v="80"/>
    <n v="1"/>
    <n v="9"/>
    <n v="3"/>
    <n v="9"/>
    <n v="5"/>
    <n v="7"/>
    <n v="7"/>
  </r>
  <r>
    <s v="No"/>
    <s v="Travel_Rarely"/>
    <x v="1"/>
    <s v="Current Employees"/>
    <x v="1"/>
    <x v="4"/>
    <x v="468"/>
    <x v="468"/>
    <x v="1"/>
    <x v="1"/>
    <x v="2"/>
    <s v="Yes"/>
    <s v="Y"/>
    <n v="3"/>
    <n v="-2"/>
    <n v="0"/>
    <x v="39"/>
    <x v="1"/>
    <m/>
    <n v="0"/>
    <n v="1"/>
    <n v="956"/>
    <n v="6"/>
    <x v="0"/>
    <n v="1"/>
    <n v="4"/>
    <n v="78"/>
    <n v="3"/>
    <n v="2"/>
    <n v="4"/>
    <n v="5577"/>
    <n v="22087"/>
    <n v="3"/>
    <n v="12"/>
    <n v="3"/>
    <n v="2"/>
    <n v="80"/>
    <n v="2"/>
    <n v="18"/>
    <n v="3"/>
    <n v="10"/>
    <n v="9"/>
    <n v="6"/>
    <n v="9"/>
  </r>
  <r>
    <s v="Yes"/>
    <s v="Non-Travel"/>
    <x v="2"/>
    <s v="Ex-Employees"/>
    <x v="0"/>
    <x v="1"/>
    <x v="469"/>
    <x v="469"/>
    <x v="1"/>
    <x v="0"/>
    <x v="1"/>
    <s v="No"/>
    <s v="Y"/>
    <n v="2"/>
    <n v="-2"/>
    <n v="0"/>
    <x v="5"/>
    <x v="0"/>
    <n v="1"/>
    <n v="1"/>
    <n v="0"/>
    <n v="1474"/>
    <n v="11"/>
    <x v="2"/>
    <n v="1"/>
    <n v="4"/>
    <n v="60"/>
    <n v="4"/>
    <n v="2"/>
    <n v="3"/>
    <n v="4707"/>
    <n v="23914"/>
    <n v="8"/>
    <n v="12"/>
    <n v="3"/>
    <n v="4"/>
    <n v="80"/>
    <n v="0"/>
    <n v="6"/>
    <n v="3"/>
    <n v="4"/>
    <n v="2"/>
    <n v="1"/>
    <n v="2"/>
  </r>
  <r>
    <s v="No"/>
    <s v="Travel_Frequently"/>
    <x v="4"/>
    <s v="Current Employees"/>
    <x v="0"/>
    <x v="2"/>
    <x v="470"/>
    <x v="470"/>
    <x v="1"/>
    <x v="6"/>
    <x v="1"/>
    <s v="No"/>
    <s v="Y"/>
    <n v="3"/>
    <n v="-2"/>
    <n v="0"/>
    <x v="17"/>
    <x v="1"/>
    <m/>
    <n v="0"/>
    <n v="1"/>
    <n v="535"/>
    <n v="24"/>
    <x v="3"/>
    <n v="1"/>
    <n v="4"/>
    <n v="38"/>
    <n v="3"/>
    <n v="1"/>
    <n v="4"/>
    <n v="2400"/>
    <n v="5530"/>
    <n v="0"/>
    <n v="13"/>
    <n v="3"/>
    <n v="3"/>
    <n v="80"/>
    <n v="2"/>
    <n v="3"/>
    <n v="3"/>
    <n v="2"/>
    <n v="2"/>
    <n v="2"/>
    <n v="1"/>
  </r>
  <r>
    <s v="No"/>
    <s v="Travel_Rarely"/>
    <x v="0"/>
    <s v="Current Employees"/>
    <x v="1"/>
    <x v="2"/>
    <x v="471"/>
    <x v="471"/>
    <x v="0"/>
    <x v="4"/>
    <x v="1"/>
    <s v="No"/>
    <s v="Y"/>
    <n v="4"/>
    <n v="-2"/>
    <n v="0"/>
    <x v="8"/>
    <x v="1"/>
    <m/>
    <n v="0"/>
    <n v="1"/>
    <n v="1495"/>
    <n v="10"/>
    <x v="3"/>
    <n v="1"/>
    <n v="3"/>
    <n v="76"/>
    <n v="3"/>
    <n v="2"/>
    <n v="3"/>
    <n v="9824"/>
    <n v="22174"/>
    <n v="3"/>
    <n v="19"/>
    <n v="3"/>
    <n v="3"/>
    <n v="80"/>
    <n v="1"/>
    <n v="18"/>
    <n v="3"/>
    <n v="1"/>
    <n v="0"/>
    <n v="0"/>
    <n v="0"/>
  </r>
  <r>
    <s v="No"/>
    <s v="Travel_Rarely"/>
    <x v="0"/>
    <s v="Current Employees"/>
    <x v="1"/>
    <x v="0"/>
    <x v="472"/>
    <x v="472"/>
    <x v="0"/>
    <x v="3"/>
    <x v="1"/>
    <s v="No"/>
    <s v="Y"/>
    <n v="2"/>
    <n v="-2"/>
    <n v="0"/>
    <x v="2"/>
    <x v="1"/>
    <m/>
    <n v="0"/>
    <n v="1"/>
    <n v="446"/>
    <n v="1"/>
    <x v="2"/>
    <n v="1"/>
    <n v="2"/>
    <n v="65"/>
    <n v="3"/>
    <n v="2"/>
    <n v="2"/>
    <n v="6447"/>
    <n v="15701"/>
    <n v="6"/>
    <n v="12"/>
    <n v="3"/>
    <n v="2"/>
    <n v="80"/>
    <n v="1"/>
    <n v="8"/>
    <n v="2"/>
    <n v="6"/>
    <n v="5"/>
    <n v="4"/>
    <n v="3"/>
  </r>
  <r>
    <s v="No"/>
    <s v="Travel_Rarely"/>
    <x v="1"/>
    <s v="Current Employees"/>
    <x v="1"/>
    <x v="0"/>
    <x v="473"/>
    <x v="473"/>
    <x v="1"/>
    <x v="7"/>
    <x v="2"/>
    <s v="Yes"/>
    <s v="Y"/>
    <n v="5"/>
    <n v="-2"/>
    <n v="0"/>
    <x v="1"/>
    <x v="1"/>
    <m/>
    <n v="0"/>
    <n v="1"/>
    <n v="1245"/>
    <n v="18"/>
    <x v="2"/>
    <n v="1"/>
    <n v="4"/>
    <n v="58"/>
    <n v="2"/>
    <n v="5"/>
    <n v="2"/>
    <n v="19502"/>
    <n v="2125"/>
    <n v="1"/>
    <n v="17"/>
    <n v="3"/>
    <n v="3"/>
    <n v="80"/>
    <n v="1"/>
    <n v="31"/>
    <n v="3"/>
    <n v="31"/>
    <n v="9"/>
    <n v="0"/>
    <n v="9"/>
  </r>
  <r>
    <s v="No"/>
    <s v="Travel_Rarely"/>
    <x v="4"/>
    <s v="Current Employees"/>
    <x v="1"/>
    <x v="2"/>
    <x v="474"/>
    <x v="474"/>
    <x v="1"/>
    <x v="1"/>
    <x v="1"/>
    <s v="Yes"/>
    <s v="Y"/>
    <n v="3"/>
    <n v="-2"/>
    <n v="0"/>
    <x v="17"/>
    <x v="1"/>
    <m/>
    <n v="0"/>
    <n v="1"/>
    <n v="691"/>
    <n v="23"/>
    <x v="3"/>
    <n v="1"/>
    <n v="2"/>
    <n v="89"/>
    <n v="4"/>
    <n v="1"/>
    <n v="4"/>
    <n v="2725"/>
    <n v="21630"/>
    <n v="1"/>
    <n v="11"/>
    <n v="3"/>
    <n v="2"/>
    <n v="80"/>
    <n v="2"/>
    <n v="6"/>
    <n v="3"/>
    <n v="6"/>
    <n v="5"/>
    <n v="1"/>
    <n v="4"/>
  </r>
  <r>
    <s v="No"/>
    <s v="Travel_Rarely"/>
    <x v="2"/>
    <s v="Current Employees"/>
    <x v="0"/>
    <x v="3"/>
    <x v="475"/>
    <x v="475"/>
    <x v="1"/>
    <x v="0"/>
    <x v="1"/>
    <s v="No"/>
    <s v="Y"/>
    <n v="5"/>
    <n v="-2"/>
    <n v="0"/>
    <x v="25"/>
    <x v="1"/>
    <m/>
    <n v="0"/>
    <n v="1"/>
    <n v="703"/>
    <n v="28"/>
    <x v="0"/>
    <n v="1"/>
    <n v="1"/>
    <n v="66"/>
    <n v="3"/>
    <n v="2"/>
    <n v="1"/>
    <n v="6272"/>
    <n v="7428"/>
    <n v="1"/>
    <n v="20"/>
    <n v="4"/>
    <n v="4"/>
    <n v="80"/>
    <n v="2"/>
    <n v="6"/>
    <n v="4"/>
    <n v="5"/>
    <n v="3"/>
    <n v="1"/>
    <n v="4"/>
  </r>
  <r>
    <s v="No"/>
    <s v="Travel_Rarely"/>
    <x v="4"/>
    <s v="Current Employees"/>
    <x v="1"/>
    <x v="1"/>
    <x v="476"/>
    <x v="476"/>
    <x v="1"/>
    <x v="2"/>
    <x v="1"/>
    <s v="No"/>
    <s v="Y"/>
    <n v="2"/>
    <n v="-2"/>
    <n v="0"/>
    <x v="17"/>
    <x v="1"/>
    <m/>
    <n v="0"/>
    <n v="1"/>
    <n v="823"/>
    <n v="17"/>
    <x v="0"/>
    <n v="1"/>
    <n v="4"/>
    <n v="94"/>
    <n v="2"/>
    <n v="1"/>
    <n v="3"/>
    <n v="2127"/>
    <n v="9100"/>
    <n v="1"/>
    <n v="21"/>
    <n v="4"/>
    <n v="4"/>
    <n v="80"/>
    <n v="1"/>
    <n v="1"/>
    <n v="3"/>
    <n v="1"/>
    <n v="0"/>
    <n v="0"/>
    <n v="0"/>
  </r>
  <r>
    <s v="No"/>
    <s v="Travel_Frequently"/>
    <x v="1"/>
    <s v="Current Employees"/>
    <x v="2"/>
    <x v="2"/>
    <x v="477"/>
    <x v="477"/>
    <x v="1"/>
    <x v="5"/>
    <x v="1"/>
    <s v="No"/>
    <s v="Y"/>
    <n v="2"/>
    <n v="-2"/>
    <n v="0"/>
    <x v="24"/>
    <x v="1"/>
    <m/>
    <n v="0"/>
    <n v="1"/>
    <n v="1246"/>
    <n v="3"/>
    <x v="3"/>
    <n v="1"/>
    <n v="1"/>
    <n v="99"/>
    <n v="3"/>
    <n v="5"/>
    <n v="3"/>
    <n v="18200"/>
    <n v="7999"/>
    <n v="1"/>
    <n v="11"/>
    <n v="3"/>
    <n v="3"/>
    <n v="80"/>
    <n v="1"/>
    <n v="32"/>
    <n v="3"/>
    <n v="32"/>
    <n v="5"/>
    <n v="10"/>
    <n v="7"/>
  </r>
  <r>
    <s v="No"/>
    <s v="Travel_Rarely"/>
    <x v="2"/>
    <s v="Current Employees"/>
    <x v="0"/>
    <x v="2"/>
    <x v="478"/>
    <x v="478"/>
    <x v="1"/>
    <x v="6"/>
    <x v="1"/>
    <s v="No"/>
    <s v="Y"/>
    <n v="1"/>
    <n v="-2"/>
    <n v="0"/>
    <x v="36"/>
    <x v="1"/>
    <m/>
    <n v="0"/>
    <n v="1"/>
    <n v="622"/>
    <n v="13"/>
    <x v="1"/>
    <n v="1"/>
    <n v="2"/>
    <n v="40"/>
    <n v="3"/>
    <n v="1"/>
    <n v="3"/>
    <n v="2096"/>
    <n v="26376"/>
    <n v="1"/>
    <n v="11"/>
    <n v="3"/>
    <n v="3"/>
    <n v="80"/>
    <n v="0"/>
    <n v="7"/>
    <n v="3"/>
    <n v="7"/>
    <n v="4"/>
    <n v="0"/>
    <n v="6"/>
  </r>
  <r>
    <s v="Yes"/>
    <s v="Travel_Frequently"/>
    <x v="4"/>
    <s v="Ex-Employees"/>
    <x v="1"/>
    <x v="0"/>
    <x v="479"/>
    <x v="479"/>
    <x v="0"/>
    <x v="2"/>
    <x v="1"/>
    <s v="Yes"/>
    <s v="Y"/>
    <n v="4"/>
    <n v="-2"/>
    <n v="0"/>
    <x v="17"/>
    <x v="0"/>
    <n v="1"/>
    <n v="1"/>
    <n v="0"/>
    <n v="1287"/>
    <n v="7"/>
    <x v="3"/>
    <n v="1"/>
    <n v="1"/>
    <n v="55"/>
    <n v="3"/>
    <n v="1"/>
    <n v="2"/>
    <n v="2886"/>
    <n v="14168"/>
    <n v="1"/>
    <n v="16"/>
    <n v="3"/>
    <n v="4"/>
    <n v="80"/>
    <n v="1"/>
    <n v="6"/>
    <n v="3"/>
    <n v="6"/>
    <n v="3"/>
    <n v="1"/>
    <n v="2"/>
  </r>
  <r>
    <s v="Yes"/>
    <s v="Travel_Frequently"/>
    <x v="2"/>
    <s v="Ex-Employees"/>
    <x v="0"/>
    <x v="0"/>
    <x v="480"/>
    <x v="480"/>
    <x v="1"/>
    <x v="6"/>
    <x v="1"/>
    <s v="No"/>
    <s v="Y"/>
    <n v="2"/>
    <n v="-2"/>
    <n v="0"/>
    <x v="7"/>
    <x v="0"/>
    <n v="1"/>
    <n v="1"/>
    <n v="0"/>
    <n v="448"/>
    <n v="12"/>
    <x v="2"/>
    <n v="1"/>
    <n v="2"/>
    <n v="74"/>
    <n v="2"/>
    <n v="1"/>
    <n v="2"/>
    <n v="2033"/>
    <n v="14470"/>
    <n v="1"/>
    <n v="18"/>
    <n v="3"/>
    <n v="3"/>
    <n v="80"/>
    <n v="1"/>
    <n v="1"/>
    <n v="4"/>
    <n v="1"/>
    <n v="0"/>
    <n v="0"/>
    <n v="0"/>
  </r>
  <r>
    <s v="No"/>
    <s v="Travel_Rarely"/>
    <x v="2"/>
    <s v="Current Employees"/>
    <x v="1"/>
    <x v="0"/>
    <x v="481"/>
    <x v="481"/>
    <x v="1"/>
    <x v="1"/>
    <x v="1"/>
    <s v="Yes"/>
    <s v="Y"/>
    <n v="3"/>
    <n v="-2"/>
    <n v="0"/>
    <x v="13"/>
    <x v="1"/>
    <m/>
    <n v="0"/>
    <n v="1"/>
    <n v="254"/>
    <n v="1"/>
    <x v="0"/>
    <n v="1"/>
    <n v="2"/>
    <n v="83"/>
    <n v="2"/>
    <n v="1"/>
    <n v="2"/>
    <n v="3622"/>
    <n v="22794"/>
    <n v="1"/>
    <n v="13"/>
    <n v="3"/>
    <n v="4"/>
    <n v="80"/>
    <n v="1"/>
    <n v="6"/>
    <n v="3"/>
    <n v="6"/>
    <n v="5"/>
    <n v="1"/>
    <n v="3"/>
  </r>
  <r>
    <s v="Yes"/>
    <s v="Travel_Rarely"/>
    <x v="2"/>
    <s v="Ex-Employees"/>
    <x v="0"/>
    <x v="2"/>
    <x v="482"/>
    <x v="482"/>
    <x v="1"/>
    <x v="0"/>
    <x v="2"/>
    <s v="No"/>
    <s v="Y"/>
    <n v="2"/>
    <n v="-2"/>
    <n v="0"/>
    <x v="12"/>
    <x v="0"/>
    <n v="1"/>
    <n v="1"/>
    <n v="0"/>
    <n v="1365"/>
    <n v="13"/>
    <x v="2"/>
    <n v="1"/>
    <n v="2"/>
    <n v="46"/>
    <n v="3"/>
    <n v="2"/>
    <n v="3"/>
    <n v="4233"/>
    <n v="11512"/>
    <n v="2"/>
    <n v="17"/>
    <n v="3"/>
    <n v="3"/>
    <n v="80"/>
    <n v="0"/>
    <n v="9"/>
    <n v="1"/>
    <n v="3"/>
    <n v="1"/>
    <n v="1"/>
    <n v="2"/>
  </r>
  <r>
    <s v="No"/>
    <s v="Travel_Rarely"/>
    <x v="0"/>
    <s v="Current Employees"/>
    <x v="1"/>
    <x v="1"/>
    <x v="483"/>
    <x v="483"/>
    <x v="1"/>
    <x v="2"/>
    <x v="0"/>
    <s v="No"/>
    <s v="Y"/>
    <n v="3"/>
    <n v="-2"/>
    <n v="0"/>
    <x v="10"/>
    <x v="1"/>
    <m/>
    <n v="0"/>
    <n v="1"/>
    <n v="538"/>
    <n v="25"/>
    <x v="0"/>
    <n v="1"/>
    <n v="1"/>
    <n v="54"/>
    <n v="2"/>
    <n v="2"/>
    <n v="4"/>
    <n v="3681"/>
    <n v="14004"/>
    <n v="4"/>
    <n v="14"/>
    <n v="3"/>
    <n v="4"/>
    <n v="80"/>
    <n v="0"/>
    <n v="9"/>
    <n v="3"/>
    <n v="3"/>
    <n v="2"/>
    <n v="0"/>
    <n v="2"/>
  </r>
  <r>
    <s v="No"/>
    <s v="Travel_Rarely"/>
    <x v="2"/>
    <s v="Current Employees"/>
    <x v="0"/>
    <x v="2"/>
    <x v="484"/>
    <x v="484"/>
    <x v="1"/>
    <x v="0"/>
    <x v="2"/>
    <s v="No"/>
    <s v="Y"/>
    <n v="4"/>
    <n v="-2"/>
    <n v="0"/>
    <x v="12"/>
    <x v="1"/>
    <m/>
    <n v="0"/>
    <n v="1"/>
    <n v="525"/>
    <n v="6"/>
    <x v="2"/>
    <n v="1"/>
    <n v="1"/>
    <n v="66"/>
    <n v="4"/>
    <n v="2"/>
    <n v="4"/>
    <n v="5460"/>
    <n v="6219"/>
    <n v="4"/>
    <n v="22"/>
    <n v="4"/>
    <n v="4"/>
    <n v="80"/>
    <n v="2"/>
    <n v="13"/>
    <n v="4"/>
    <n v="7"/>
    <n v="7"/>
    <n v="5"/>
    <n v="7"/>
  </r>
  <r>
    <s v="No"/>
    <s v="Travel_Rarely"/>
    <x v="2"/>
    <s v="Current Employees"/>
    <x v="1"/>
    <x v="2"/>
    <x v="485"/>
    <x v="485"/>
    <x v="0"/>
    <x v="1"/>
    <x v="2"/>
    <s v="No"/>
    <s v="Y"/>
    <n v="5"/>
    <n v="-2"/>
    <n v="0"/>
    <x v="4"/>
    <x v="1"/>
    <m/>
    <n v="0"/>
    <n v="1"/>
    <n v="798"/>
    <n v="6"/>
    <x v="2"/>
    <n v="1"/>
    <n v="1"/>
    <n v="66"/>
    <n v="2"/>
    <n v="1"/>
    <n v="3"/>
    <n v="2187"/>
    <n v="5013"/>
    <n v="0"/>
    <n v="12"/>
    <n v="3"/>
    <n v="3"/>
    <n v="80"/>
    <n v="2"/>
    <n v="6"/>
    <n v="2"/>
    <n v="5"/>
    <n v="3"/>
    <n v="0"/>
    <n v="3"/>
  </r>
  <r>
    <s v="No"/>
    <s v="Travel_Rarely"/>
    <x v="0"/>
    <s v="Current Employees"/>
    <x v="0"/>
    <x v="3"/>
    <x v="486"/>
    <x v="486"/>
    <x v="1"/>
    <x v="0"/>
    <x v="1"/>
    <s v="Yes"/>
    <s v="Y"/>
    <n v="3"/>
    <n v="-2"/>
    <n v="0"/>
    <x v="2"/>
    <x v="1"/>
    <m/>
    <n v="0"/>
    <n v="1"/>
    <n v="558"/>
    <n v="2"/>
    <x v="3"/>
    <n v="1"/>
    <n v="4"/>
    <n v="75"/>
    <n v="3"/>
    <n v="2"/>
    <n v="1"/>
    <n v="9602"/>
    <n v="3010"/>
    <n v="4"/>
    <n v="11"/>
    <n v="3"/>
    <n v="3"/>
    <n v="80"/>
    <n v="1"/>
    <n v="17"/>
    <n v="2"/>
    <n v="3"/>
    <n v="0"/>
    <n v="1"/>
    <n v="0"/>
  </r>
  <r>
    <s v="No"/>
    <s v="Travel_Rarely"/>
    <x v="4"/>
    <s v="Current Employees"/>
    <x v="1"/>
    <x v="0"/>
    <x v="487"/>
    <x v="487"/>
    <x v="0"/>
    <x v="1"/>
    <x v="0"/>
    <s v="No"/>
    <s v="Y"/>
    <n v="0"/>
    <n v="-2"/>
    <n v="0"/>
    <x v="35"/>
    <x v="1"/>
    <m/>
    <n v="0"/>
    <n v="1"/>
    <n v="959"/>
    <n v="1"/>
    <x v="3"/>
    <n v="1"/>
    <n v="4"/>
    <n v="83"/>
    <n v="2"/>
    <n v="1"/>
    <n v="2"/>
    <n v="2836"/>
    <n v="11757"/>
    <n v="1"/>
    <n v="13"/>
    <n v="3"/>
    <n v="4"/>
    <n v="80"/>
    <n v="0"/>
    <n v="1"/>
    <n v="4"/>
    <n v="1"/>
    <n v="0"/>
    <n v="0"/>
    <n v="0"/>
  </r>
  <r>
    <s v="No"/>
    <s v="Travel_Rarely"/>
    <x v="0"/>
    <s v="Current Employees"/>
    <x v="1"/>
    <x v="0"/>
    <x v="488"/>
    <x v="488"/>
    <x v="0"/>
    <x v="4"/>
    <x v="1"/>
    <s v="No"/>
    <s v="Y"/>
    <n v="4"/>
    <n v="-2"/>
    <n v="0"/>
    <x v="19"/>
    <x v="1"/>
    <m/>
    <n v="0"/>
    <n v="1"/>
    <n v="622"/>
    <n v="2"/>
    <x v="2"/>
    <n v="1"/>
    <n v="3"/>
    <n v="81"/>
    <n v="3"/>
    <n v="2"/>
    <n v="2"/>
    <n v="4089"/>
    <n v="5718"/>
    <n v="1"/>
    <n v="13"/>
    <n v="3"/>
    <n v="2"/>
    <n v="80"/>
    <n v="2"/>
    <n v="10"/>
    <n v="3"/>
    <n v="10"/>
    <n v="2"/>
    <n v="2"/>
    <n v="2"/>
  </r>
  <r>
    <s v="No"/>
    <s v="Travel_Rarely"/>
    <x v="0"/>
    <s v="Current Employees"/>
    <x v="1"/>
    <x v="1"/>
    <x v="489"/>
    <x v="489"/>
    <x v="1"/>
    <x v="7"/>
    <x v="2"/>
    <s v="Yes"/>
    <s v="Y"/>
    <n v="3"/>
    <n v="-2"/>
    <n v="0"/>
    <x v="23"/>
    <x v="1"/>
    <m/>
    <n v="0"/>
    <n v="1"/>
    <n v="782"/>
    <n v="6"/>
    <x v="2"/>
    <n v="1"/>
    <n v="2"/>
    <n v="50"/>
    <n v="2"/>
    <n v="4"/>
    <n v="4"/>
    <n v="16627"/>
    <n v="2671"/>
    <n v="4"/>
    <n v="14"/>
    <n v="3"/>
    <n v="3"/>
    <n v="80"/>
    <n v="1"/>
    <n v="21"/>
    <n v="2"/>
    <n v="1"/>
    <n v="0"/>
    <n v="0"/>
    <n v="0"/>
  </r>
  <r>
    <s v="No"/>
    <s v="Travel_Rarely"/>
    <x v="0"/>
    <s v="Current Employees"/>
    <x v="1"/>
    <x v="0"/>
    <x v="490"/>
    <x v="490"/>
    <x v="0"/>
    <x v="1"/>
    <x v="0"/>
    <s v="No"/>
    <s v="Y"/>
    <n v="3"/>
    <n v="-2"/>
    <n v="0"/>
    <x v="8"/>
    <x v="1"/>
    <m/>
    <n v="0"/>
    <n v="1"/>
    <n v="362"/>
    <n v="1"/>
    <x v="1"/>
    <n v="1"/>
    <n v="3"/>
    <n v="43"/>
    <n v="3"/>
    <n v="1"/>
    <n v="2"/>
    <n v="2619"/>
    <n v="14561"/>
    <n v="3"/>
    <n v="17"/>
    <n v="3"/>
    <n v="4"/>
    <n v="80"/>
    <n v="0"/>
    <n v="8"/>
    <n v="2"/>
    <n v="0"/>
    <n v="0"/>
    <n v="0"/>
    <n v="0"/>
  </r>
  <r>
    <s v="No"/>
    <s v="Travel_Frequently"/>
    <x v="0"/>
    <s v="Current Employees"/>
    <x v="1"/>
    <x v="2"/>
    <x v="491"/>
    <x v="491"/>
    <x v="1"/>
    <x v="2"/>
    <x v="2"/>
    <s v="Yes"/>
    <s v="Y"/>
    <n v="3"/>
    <n v="-2"/>
    <n v="0"/>
    <x v="23"/>
    <x v="1"/>
    <m/>
    <n v="0"/>
    <n v="1"/>
    <n v="1001"/>
    <n v="9"/>
    <x v="4"/>
    <n v="1"/>
    <n v="4"/>
    <n v="72"/>
    <n v="3"/>
    <n v="2"/>
    <n v="3"/>
    <n v="5679"/>
    <n v="19627"/>
    <n v="3"/>
    <n v="13"/>
    <n v="3"/>
    <n v="2"/>
    <n v="80"/>
    <n v="1"/>
    <n v="10"/>
    <n v="3"/>
    <n v="8"/>
    <n v="7"/>
    <n v="4"/>
    <n v="7"/>
  </r>
  <r>
    <s v="No"/>
    <s v="Travel_Rarely"/>
    <x v="1"/>
    <s v="Current Employees"/>
    <x v="1"/>
    <x v="0"/>
    <x v="492"/>
    <x v="492"/>
    <x v="0"/>
    <x v="5"/>
    <x v="1"/>
    <s v="No"/>
    <s v="Y"/>
    <n v="3"/>
    <n v="-2"/>
    <n v="0"/>
    <x v="26"/>
    <x v="1"/>
    <m/>
    <n v="0"/>
    <n v="1"/>
    <n v="1236"/>
    <n v="1"/>
    <x v="2"/>
    <n v="1"/>
    <n v="4"/>
    <n v="40"/>
    <n v="2"/>
    <n v="4"/>
    <n v="2"/>
    <n v="15402"/>
    <n v="17997"/>
    <n v="7"/>
    <n v="11"/>
    <n v="3"/>
    <n v="1"/>
    <n v="80"/>
    <n v="1"/>
    <n v="21"/>
    <n v="1"/>
    <n v="3"/>
    <n v="2"/>
    <n v="0"/>
    <n v="2"/>
  </r>
  <r>
    <s v="No"/>
    <s v="Travel_Rarely"/>
    <x v="0"/>
    <s v="Current Employees"/>
    <x v="2"/>
    <x v="0"/>
    <x v="493"/>
    <x v="493"/>
    <x v="0"/>
    <x v="8"/>
    <x v="0"/>
    <s v="No"/>
    <s v="Y"/>
    <n v="1"/>
    <n v="-2"/>
    <n v="0"/>
    <x v="20"/>
    <x v="1"/>
    <m/>
    <n v="0"/>
    <n v="1"/>
    <n v="1112"/>
    <n v="1"/>
    <x v="2"/>
    <n v="1"/>
    <n v="1"/>
    <n v="50"/>
    <n v="2"/>
    <n v="2"/>
    <n v="2"/>
    <n v="5985"/>
    <n v="26894"/>
    <n v="4"/>
    <n v="11"/>
    <n v="3"/>
    <n v="2"/>
    <n v="80"/>
    <n v="0"/>
    <n v="10"/>
    <n v="4"/>
    <n v="2"/>
    <n v="2"/>
    <n v="0"/>
    <n v="2"/>
  </r>
  <r>
    <s v="No"/>
    <s v="Travel_Rarely"/>
    <x v="2"/>
    <s v="Current Employees"/>
    <x v="0"/>
    <x v="4"/>
    <x v="494"/>
    <x v="494"/>
    <x v="0"/>
    <x v="6"/>
    <x v="2"/>
    <s v="Yes"/>
    <s v="Y"/>
    <n v="3"/>
    <n v="-2"/>
    <n v="0"/>
    <x v="13"/>
    <x v="1"/>
    <m/>
    <n v="0"/>
    <n v="1"/>
    <n v="204"/>
    <n v="14"/>
    <x v="3"/>
    <n v="1"/>
    <n v="4"/>
    <n v="31"/>
    <n v="3"/>
    <n v="1"/>
    <n v="4"/>
    <n v="2579"/>
    <n v="2912"/>
    <n v="1"/>
    <n v="18"/>
    <n v="3"/>
    <n v="4"/>
    <n v="80"/>
    <n v="2"/>
    <n v="8"/>
    <n v="3"/>
    <n v="8"/>
    <n v="2"/>
    <n v="0"/>
    <n v="6"/>
  </r>
  <r>
    <s v="Yes"/>
    <s v="Travel_Rarely"/>
    <x v="2"/>
    <s v="Ex-Employees"/>
    <x v="0"/>
    <x v="3"/>
    <x v="495"/>
    <x v="495"/>
    <x v="1"/>
    <x v="6"/>
    <x v="2"/>
    <s v="No"/>
    <s v="Y"/>
    <n v="3"/>
    <n v="-2"/>
    <n v="0"/>
    <x v="4"/>
    <x v="0"/>
    <n v="1"/>
    <n v="1"/>
    <n v="0"/>
    <n v="1420"/>
    <n v="2"/>
    <x v="1"/>
    <n v="1"/>
    <n v="3"/>
    <n v="85"/>
    <n v="3"/>
    <n v="1"/>
    <n v="1"/>
    <n v="3041"/>
    <n v="16346"/>
    <n v="0"/>
    <n v="11"/>
    <n v="3"/>
    <n v="2"/>
    <n v="80"/>
    <n v="1"/>
    <n v="5"/>
    <n v="3"/>
    <n v="4"/>
    <n v="3"/>
    <n v="0"/>
    <n v="2"/>
  </r>
  <r>
    <s v="No"/>
    <s v="Travel_Rarely"/>
    <x v="4"/>
    <s v="Current Employees"/>
    <x v="0"/>
    <x v="4"/>
    <x v="496"/>
    <x v="496"/>
    <x v="1"/>
    <x v="6"/>
    <x v="0"/>
    <s v="No"/>
    <s v="Y"/>
    <n v="2"/>
    <n v="-2"/>
    <n v="0"/>
    <x v="18"/>
    <x v="1"/>
    <m/>
    <n v="0"/>
    <n v="1"/>
    <n v="1343"/>
    <n v="22"/>
    <x v="1"/>
    <n v="1"/>
    <n v="4"/>
    <n v="49"/>
    <n v="3"/>
    <n v="1"/>
    <n v="4"/>
    <n v="3447"/>
    <n v="24444"/>
    <n v="1"/>
    <n v="11"/>
    <n v="3"/>
    <n v="3"/>
    <n v="80"/>
    <n v="0"/>
    <n v="3"/>
    <n v="3"/>
    <n v="3"/>
    <n v="2"/>
    <n v="1"/>
    <n v="2"/>
  </r>
  <r>
    <s v="No"/>
    <s v="Travel_Rarely"/>
    <x v="0"/>
    <s v="Current Employees"/>
    <x v="1"/>
    <x v="1"/>
    <x v="497"/>
    <x v="497"/>
    <x v="1"/>
    <x v="5"/>
    <x v="1"/>
    <s v="Yes"/>
    <s v="Y"/>
    <n v="2"/>
    <n v="-2"/>
    <n v="0"/>
    <x v="20"/>
    <x v="1"/>
    <m/>
    <n v="0"/>
    <n v="1"/>
    <n v="1315"/>
    <n v="3"/>
    <x v="2"/>
    <n v="1"/>
    <n v="4"/>
    <n v="35"/>
    <n v="3"/>
    <n v="5"/>
    <n v="4"/>
    <n v="19513"/>
    <n v="9358"/>
    <n v="4"/>
    <n v="12"/>
    <n v="3"/>
    <n v="1"/>
    <n v="80"/>
    <n v="1"/>
    <n v="26"/>
    <n v="4"/>
    <n v="2"/>
    <n v="2"/>
    <n v="0"/>
    <n v="1"/>
  </r>
  <r>
    <s v="No"/>
    <s v="Travel_Rarely"/>
    <x v="4"/>
    <s v="Current Employees"/>
    <x v="1"/>
    <x v="2"/>
    <x v="498"/>
    <x v="498"/>
    <x v="1"/>
    <x v="1"/>
    <x v="1"/>
    <s v="No"/>
    <s v="Y"/>
    <n v="3"/>
    <n v="-2"/>
    <n v="0"/>
    <x v="15"/>
    <x v="1"/>
    <m/>
    <n v="0"/>
    <n v="1"/>
    <n v="604"/>
    <n v="6"/>
    <x v="1"/>
    <n v="1"/>
    <n v="1"/>
    <n v="69"/>
    <n v="3"/>
    <n v="1"/>
    <n v="3"/>
    <n v="2773"/>
    <n v="12145"/>
    <n v="0"/>
    <n v="20"/>
    <n v="4"/>
    <n v="4"/>
    <n v="80"/>
    <n v="0"/>
    <n v="3"/>
    <n v="3"/>
    <n v="2"/>
    <n v="2"/>
    <n v="2"/>
    <n v="2"/>
  </r>
  <r>
    <s v="No"/>
    <s v="Travel_Rarely"/>
    <x v="2"/>
    <s v="Current Employees"/>
    <x v="0"/>
    <x v="3"/>
    <x v="499"/>
    <x v="499"/>
    <x v="1"/>
    <x v="0"/>
    <x v="2"/>
    <s v="No"/>
    <s v="Y"/>
    <n v="3"/>
    <n v="-2"/>
    <n v="0"/>
    <x v="3"/>
    <x v="1"/>
    <m/>
    <n v="0"/>
    <n v="1"/>
    <n v="1216"/>
    <n v="8"/>
    <x v="2"/>
    <n v="1"/>
    <n v="3"/>
    <n v="39"/>
    <n v="3"/>
    <n v="2"/>
    <n v="1"/>
    <n v="7104"/>
    <n v="20431"/>
    <n v="0"/>
    <n v="12"/>
    <n v="3"/>
    <n v="4"/>
    <n v="80"/>
    <n v="0"/>
    <n v="6"/>
    <n v="3"/>
    <n v="5"/>
    <n v="0"/>
    <n v="1"/>
    <n v="2"/>
  </r>
  <r>
    <s v="No"/>
    <s v="Travel_Rarely"/>
    <x v="2"/>
    <s v="Current Employees"/>
    <x v="1"/>
    <x v="0"/>
    <x v="500"/>
    <x v="500"/>
    <x v="0"/>
    <x v="1"/>
    <x v="1"/>
    <s v="Yes"/>
    <s v="Y"/>
    <n v="2"/>
    <n v="-2"/>
    <n v="0"/>
    <x v="5"/>
    <x v="1"/>
    <m/>
    <n v="0"/>
    <n v="1"/>
    <n v="646"/>
    <n v="9"/>
    <x v="2"/>
    <n v="1"/>
    <n v="1"/>
    <n v="92"/>
    <n v="3"/>
    <n v="2"/>
    <n v="2"/>
    <n v="6322"/>
    <n v="18089"/>
    <n v="1"/>
    <n v="12"/>
    <n v="3"/>
    <n v="4"/>
    <n v="80"/>
    <n v="1"/>
    <n v="6"/>
    <n v="2"/>
    <n v="6"/>
    <n v="4"/>
    <n v="0"/>
    <n v="5"/>
  </r>
  <r>
    <s v="No"/>
    <s v="Travel_Frequently"/>
    <x v="2"/>
    <s v="Current Employees"/>
    <x v="1"/>
    <x v="2"/>
    <x v="501"/>
    <x v="501"/>
    <x v="0"/>
    <x v="1"/>
    <x v="2"/>
    <s v="No"/>
    <s v="Y"/>
    <n v="2"/>
    <n v="-2"/>
    <n v="0"/>
    <x v="7"/>
    <x v="1"/>
    <m/>
    <n v="0"/>
    <n v="1"/>
    <n v="160"/>
    <n v="3"/>
    <x v="3"/>
    <n v="1"/>
    <n v="3"/>
    <n v="71"/>
    <n v="3"/>
    <n v="1"/>
    <n v="3"/>
    <n v="2083"/>
    <n v="22653"/>
    <n v="1"/>
    <n v="20"/>
    <n v="4"/>
    <n v="3"/>
    <n v="80"/>
    <n v="1"/>
    <n v="1"/>
    <n v="3"/>
    <n v="1"/>
    <n v="0"/>
    <n v="0"/>
    <n v="0"/>
  </r>
  <r>
    <s v="No"/>
    <s v="Travel_Rarely"/>
    <x v="1"/>
    <s v="Current Employees"/>
    <x v="0"/>
    <x v="2"/>
    <x v="502"/>
    <x v="502"/>
    <x v="0"/>
    <x v="0"/>
    <x v="0"/>
    <s v="No"/>
    <s v="Y"/>
    <n v="2"/>
    <n v="-2"/>
    <n v="0"/>
    <x v="16"/>
    <x v="1"/>
    <m/>
    <n v="0"/>
    <n v="1"/>
    <n v="238"/>
    <n v="1"/>
    <x v="1"/>
    <n v="1"/>
    <n v="4"/>
    <n v="34"/>
    <n v="3"/>
    <n v="2"/>
    <n v="3"/>
    <n v="8381"/>
    <n v="7507"/>
    <n v="7"/>
    <n v="20"/>
    <n v="4"/>
    <n v="4"/>
    <n v="80"/>
    <n v="0"/>
    <n v="18"/>
    <n v="4"/>
    <n v="14"/>
    <n v="7"/>
    <n v="8"/>
    <n v="10"/>
  </r>
  <r>
    <s v="No"/>
    <s v="Travel_Rarely"/>
    <x v="2"/>
    <s v="Current Employees"/>
    <x v="1"/>
    <x v="0"/>
    <x v="503"/>
    <x v="503"/>
    <x v="1"/>
    <x v="1"/>
    <x v="1"/>
    <s v="No"/>
    <s v="Y"/>
    <n v="4"/>
    <n v="-2"/>
    <n v="0"/>
    <x v="13"/>
    <x v="1"/>
    <m/>
    <n v="0"/>
    <n v="1"/>
    <n v="1397"/>
    <n v="1"/>
    <x v="4"/>
    <n v="1"/>
    <n v="2"/>
    <n v="42"/>
    <n v="3"/>
    <n v="1"/>
    <n v="2"/>
    <n v="2691"/>
    <n v="7660"/>
    <n v="1"/>
    <n v="12"/>
    <n v="3"/>
    <n v="4"/>
    <n v="80"/>
    <n v="1"/>
    <n v="10"/>
    <n v="2"/>
    <n v="10"/>
    <n v="9"/>
    <n v="8"/>
    <n v="8"/>
  </r>
  <r>
    <s v="Yes"/>
    <s v="Travel_Frequently"/>
    <x v="1"/>
    <s v="Ex-Employees"/>
    <x v="0"/>
    <x v="0"/>
    <x v="504"/>
    <x v="504"/>
    <x v="0"/>
    <x v="0"/>
    <x v="1"/>
    <s v="No"/>
    <s v="Y"/>
    <n v="4"/>
    <n v="-2"/>
    <n v="0"/>
    <x v="28"/>
    <x v="0"/>
    <n v="1"/>
    <n v="1"/>
    <n v="0"/>
    <n v="306"/>
    <n v="26"/>
    <x v="2"/>
    <n v="1"/>
    <n v="1"/>
    <n v="100"/>
    <n v="3"/>
    <n v="2"/>
    <n v="2"/>
    <n v="4286"/>
    <n v="5630"/>
    <n v="2"/>
    <n v="14"/>
    <n v="3"/>
    <n v="4"/>
    <n v="80"/>
    <n v="2"/>
    <n v="5"/>
    <n v="3"/>
    <n v="1"/>
    <n v="1"/>
    <n v="0"/>
    <n v="0"/>
  </r>
  <r>
    <s v="No"/>
    <s v="Travel_Rarely"/>
    <x v="2"/>
    <s v="Current Employees"/>
    <x v="1"/>
    <x v="0"/>
    <x v="505"/>
    <x v="505"/>
    <x v="0"/>
    <x v="2"/>
    <x v="1"/>
    <s v="Yes"/>
    <s v="Y"/>
    <n v="2"/>
    <n v="-2"/>
    <n v="0"/>
    <x v="25"/>
    <x v="1"/>
    <m/>
    <n v="0"/>
    <n v="1"/>
    <n v="991"/>
    <n v="6"/>
    <x v="3"/>
    <n v="1"/>
    <n v="3"/>
    <n v="71"/>
    <n v="3"/>
    <n v="1"/>
    <n v="2"/>
    <n v="2659"/>
    <n v="17759"/>
    <n v="1"/>
    <n v="13"/>
    <n v="3"/>
    <n v="3"/>
    <n v="80"/>
    <n v="1"/>
    <n v="3"/>
    <n v="3"/>
    <n v="3"/>
    <n v="2"/>
    <n v="0"/>
    <n v="2"/>
  </r>
  <r>
    <s v="No"/>
    <s v="Travel_Rarely"/>
    <x v="0"/>
    <s v="Current Employees"/>
    <x v="1"/>
    <x v="1"/>
    <x v="506"/>
    <x v="506"/>
    <x v="1"/>
    <x v="3"/>
    <x v="1"/>
    <s v="No"/>
    <s v="Y"/>
    <n v="2"/>
    <n v="-2"/>
    <n v="0"/>
    <x v="2"/>
    <x v="1"/>
    <m/>
    <n v="0"/>
    <n v="1"/>
    <n v="482"/>
    <n v="3"/>
    <x v="3"/>
    <n v="1"/>
    <n v="3"/>
    <n v="36"/>
    <n v="3"/>
    <n v="3"/>
    <n v="3"/>
    <n v="9434"/>
    <n v="9606"/>
    <n v="1"/>
    <n v="15"/>
    <n v="3"/>
    <n v="3"/>
    <n v="80"/>
    <n v="1"/>
    <n v="10"/>
    <n v="3"/>
    <n v="10"/>
    <n v="7"/>
    <n v="7"/>
    <n v="8"/>
  </r>
  <r>
    <s v="No"/>
    <s v="Travel_Rarely"/>
    <x v="2"/>
    <s v="Current Employees"/>
    <x v="0"/>
    <x v="2"/>
    <x v="507"/>
    <x v="507"/>
    <x v="0"/>
    <x v="0"/>
    <x v="1"/>
    <s v="No"/>
    <s v="Y"/>
    <n v="5"/>
    <n v="-2"/>
    <n v="0"/>
    <x v="11"/>
    <x v="1"/>
    <m/>
    <n v="0"/>
    <n v="1"/>
    <n v="1176"/>
    <n v="3"/>
    <x v="0"/>
    <n v="1"/>
    <n v="2"/>
    <n v="62"/>
    <n v="3"/>
    <n v="2"/>
    <n v="3"/>
    <n v="5561"/>
    <n v="3487"/>
    <n v="1"/>
    <n v="14"/>
    <n v="3"/>
    <n v="1"/>
    <n v="80"/>
    <n v="1"/>
    <n v="6"/>
    <n v="2"/>
    <n v="6"/>
    <n v="0"/>
    <n v="1"/>
    <n v="2"/>
  </r>
  <r>
    <s v="No"/>
    <s v="Travel_Rarely"/>
    <x v="0"/>
    <s v="Current Employees"/>
    <x v="1"/>
    <x v="0"/>
    <x v="508"/>
    <x v="508"/>
    <x v="1"/>
    <x v="1"/>
    <x v="0"/>
    <s v="No"/>
    <s v="Y"/>
    <n v="3"/>
    <n v="-2"/>
    <n v="0"/>
    <x v="10"/>
    <x v="1"/>
    <m/>
    <n v="0"/>
    <n v="1"/>
    <n v="1017"/>
    <n v="6"/>
    <x v="2"/>
    <n v="1"/>
    <n v="2"/>
    <n v="82"/>
    <n v="1"/>
    <n v="2"/>
    <n v="2"/>
    <n v="6646"/>
    <n v="19368"/>
    <n v="1"/>
    <n v="13"/>
    <n v="3"/>
    <n v="2"/>
    <n v="80"/>
    <n v="0"/>
    <n v="17"/>
    <n v="3"/>
    <n v="17"/>
    <n v="11"/>
    <n v="11"/>
    <n v="8"/>
  </r>
  <r>
    <s v="No"/>
    <s v="Travel_Frequently"/>
    <x v="2"/>
    <s v="Current Employees"/>
    <x v="1"/>
    <x v="0"/>
    <x v="509"/>
    <x v="509"/>
    <x v="1"/>
    <x v="4"/>
    <x v="2"/>
    <s v="No"/>
    <s v="Y"/>
    <n v="2"/>
    <n v="-2"/>
    <n v="0"/>
    <x v="3"/>
    <x v="1"/>
    <m/>
    <n v="0"/>
    <n v="1"/>
    <n v="1296"/>
    <n v="6"/>
    <x v="3"/>
    <n v="1"/>
    <n v="3"/>
    <n v="30"/>
    <n v="3"/>
    <n v="2"/>
    <n v="2"/>
    <n v="7725"/>
    <n v="5335"/>
    <n v="3"/>
    <n v="23"/>
    <n v="4"/>
    <n v="3"/>
    <n v="80"/>
    <n v="1"/>
    <n v="15"/>
    <n v="1"/>
    <n v="13"/>
    <n v="11"/>
    <n v="4"/>
    <n v="7"/>
  </r>
  <r>
    <s v="No"/>
    <s v="Travel_Rarely"/>
    <x v="1"/>
    <s v="Current Employees"/>
    <x v="2"/>
    <x v="2"/>
    <x v="510"/>
    <x v="510"/>
    <x v="1"/>
    <x v="8"/>
    <x v="1"/>
    <s v="No"/>
    <s v="Y"/>
    <n v="1"/>
    <n v="-2"/>
    <n v="0"/>
    <x v="33"/>
    <x v="1"/>
    <m/>
    <n v="0"/>
    <n v="1"/>
    <n v="397"/>
    <n v="19"/>
    <x v="2"/>
    <n v="1"/>
    <n v="3"/>
    <n v="88"/>
    <n v="3"/>
    <n v="3"/>
    <n v="3"/>
    <n v="10725"/>
    <n v="6729"/>
    <n v="2"/>
    <n v="15"/>
    <n v="3"/>
    <n v="3"/>
    <n v="80"/>
    <n v="1"/>
    <n v="16"/>
    <n v="4"/>
    <n v="9"/>
    <n v="7"/>
    <n v="7"/>
    <n v="1"/>
  </r>
  <r>
    <s v="No"/>
    <s v="Travel_Rarely"/>
    <x v="0"/>
    <s v="Current Employees"/>
    <x v="1"/>
    <x v="2"/>
    <x v="511"/>
    <x v="511"/>
    <x v="1"/>
    <x v="3"/>
    <x v="2"/>
    <s v="Yes"/>
    <s v="Y"/>
    <n v="2"/>
    <n v="-2"/>
    <n v="0"/>
    <x v="9"/>
    <x v="1"/>
    <m/>
    <n v="0"/>
    <n v="1"/>
    <n v="913"/>
    <n v="9"/>
    <x v="0"/>
    <n v="1"/>
    <n v="2"/>
    <n v="48"/>
    <n v="2"/>
    <n v="2"/>
    <n v="3"/>
    <n v="8847"/>
    <n v="13934"/>
    <n v="2"/>
    <n v="11"/>
    <n v="3"/>
    <n v="3"/>
    <n v="80"/>
    <n v="1"/>
    <n v="13"/>
    <n v="3"/>
    <n v="3"/>
    <n v="2"/>
    <n v="0"/>
    <n v="2"/>
  </r>
  <r>
    <s v="No"/>
    <s v="Travel_Rarely"/>
    <x v="2"/>
    <s v="Current Employees"/>
    <x v="1"/>
    <x v="2"/>
    <x v="512"/>
    <x v="512"/>
    <x v="1"/>
    <x v="1"/>
    <x v="0"/>
    <s v="No"/>
    <s v="Y"/>
    <n v="0"/>
    <n v="-2"/>
    <n v="0"/>
    <x v="4"/>
    <x v="1"/>
    <m/>
    <n v="0"/>
    <n v="1"/>
    <n v="1115"/>
    <n v="3"/>
    <x v="2"/>
    <n v="1"/>
    <n v="1"/>
    <n v="54"/>
    <n v="2"/>
    <n v="1"/>
    <n v="4"/>
    <n v="2045"/>
    <n v="15174"/>
    <n v="0"/>
    <n v="13"/>
    <n v="3"/>
    <n v="4"/>
    <n v="80"/>
    <n v="0"/>
    <n v="5"/>
    <n v="3"/>
    <n v="4"/>
    <n v="2"/>
    <n v="1"/>
    <n v="1"/>
  </r>
  <r>
    <s v="Yes"/>
    <s v="Travel_Rarely"/>
    <x v="4"/>
    <s v="Ex-Employees"/>
    <x v="1"/>
    <x v="2"/>
    <x v="513"/>
    <x v="513"/>
    <x v="1"/>
    <x v="1"/>
    <x v="0"/>
    <s v="Yes"/>
    <s v="Y"/>
    <n v="5"/>
    <n v="-2"/>
    <n v="0"/>
    <x v="35"/>
    <x v="0"/>
    <n v="1"/>
    <n v="1"/>
    <n v="0"/>
    <n v="1362"/>
    <n v="10"/>
    <x v="1"/>
    <n v="1"/>
    <n v="4"/>
    <n v="32"/>
    <n v="3"/>
    <n v="1"/>
    <n v="3"/>
    <n v="1009"/>
    <n v="26999"/>
    <n v="1"/>
    <n v="11"/>
    <n v="3"/>
    <n v="4"/>
    <n v="80"/>
    <n v="0"/>
    <n v="1"/>
    <n v="3"/>
    <n v="1"/>
    <n v="0"/>
    <n v="1"/>
    <n v="1"/>
  </r>
  <r>
    <s v="Yes"/>
    <s v="Travel_Frequently"/>
    <x v="2"/>
    <s v="Ex-Employees"/>
    <x v="1"/>
    <x v="0"/>
    <x v="514"/>
    <x v="514"/>
    <x v="1"/>
    <x v="1"/>
    <x v="0"/>
    <s v="Yes"/>
    <s v="Y"/>
    <n v="3"/>
    <n v="-2"/>
    <n v="0"/>
    <x v="3"/>
    <x v="0"/>
    <n v="1"/>
    <n v="1"/>
    <n v="0"/>
    <n v="1076"/>
    <n v="3"/>
    <x v="3"/>
    <n v="1"/>
    <n v="1"/>
    <n v="70"/>
    <n v="3"/>
    <n v="1"/>
    <n v="2"/>
    <n v="3348"/>
    <n v="3164"/>
    <n v="1"/>
    <n v="11"/>
    <n v="3"/>
    <n v="1"/>
    <n v="80"/>
    <n v="0"/>
    <n v="10"/>
    <n v="3"/>
    <n v="10"/>
    <n v="8"/>
    <n v="9"/>
    <n v="7"/>
  </r>
  <r>
    <s v="No"/>
    <s v="Non-Travel"/>
    <x v="0"/>
    <s v="Current Employees"/>
    <x v="1"/>
    <x v="0"/>
    <x v="515"/>
    <x v="515"/>
    <x v="1"/>
    <x v="2"/>
    <x v="1"/>
    <s v="No"/>
    <s v="Y"/>
    <n v="3"/>
    <n v="-2"/>
    <n v="0"/>
    <x v="10"/>
    <x v="1"/>
    <m/>
    <n v="0"/>
    <n v="1"/>
    <n v="727"/>
    <n v="3"/>
    <x v="3"/>
    <n v="1"/>
    <n v="3"/>
    <n v="41"/>
    <n v="2"/>
    <n v="1"/>
    <n v="2"/>
    <n v="1281"/>
    <n v="16900"/>
    <n v="1"/>
    <n v="18"/>
    <n v="3"/>
    <n v="3"/>
    <n v="80"/>
    <n v="2"/>
    <n v="1"/>
    <n v="3"/>
    <n v="1"/>
    <n v="0"/>
    <n v="0"/>
    <n v="0"/>
  </r>
  <r>
    <s v="No"/>
    <s v="Travel_Rarely"/>
    <x v="4"/>
    <s v="Current Employees"/>
    <x v="1"/>
    <x v="2"/>
    <x v="516"/>
    <x v="516"/>
    <x v="1"/>
    <x v="1"/>
    <x v="1"/>
    <s v="No"/>
    <s v="Y"/>
    <n v="3"/>
    <n v="-2"/>
    <n v="0"/>
    <x v="30"/>
    <x v="1"/>
    <m/>
    <n v="0"/>
    <n v="1"/>
    <n v="885"/>
    <n v="4"/>
    <x v="3"/>
    <n v="1"/>
    <n v="1"/>
    <n v="58"/>
    <n v="4"/>
    <n v="1"/>
    <n v="3"/>
    <n v="2819"/>
    <n v="8544"/>
    <n v="2"/>
    <n v="16"/>
    <n v="3"/>
    <n v="1"/>
    <n v="80"/>
    <n v="1"/>
    <n v="5"/>
    <n v="4"/>
    <n v="3"/>
    <n v="2"/>
    <n v="0"/>
    <n v="2"/>
  </r>
  <r>
    <s v="No"/>
    <s v="Travel_Rarely"/>
    <x v="2"/>
    <s v="Current Employees"/>
    <x v="0"/>
    <x v="0"/>
    <x v="517"/>
    <x v="517"/>
    <x v="1"/>
    <x v="0"/>
    <x v="1"/>
    <s v="No"/>
    <s v="Y"/>
    <n v="4"/>
    <n v="-2"/>
    <n v="0"/>
    <x v="36"/>
    <x v="1"/>
    <m/>
    <n v="0"/>
    <n v="1"/>
    <n v="810"/>
    <n v="8"/>
    <x v="3"/>
    <n v="1"/>
    <n v="4"/>
    <n v="57"/>
    <n v="4"/>
    <n v="2"/>
    <n v="2"/>
    <n v="4851"/>
    <n v="15678"/>
    <n v="0"/>
    <n v="22"/>
    <n v="4"/>
    <n v="3"/>
    <n v="80"/>
    <n v="1"/>
    <n v="4"/>
    <n v="3"/>
    <n v="3"/>
    <n v="2"/>
    <n v="1"/>
    <n v="2"/>
  </r>
  <r>
    <s v="No"/>
    <s v="Travel_Rarely"/>
    <x v="0"/>
    <s v="Current Employees"/>
    <x v="0"/>
    <x v="3"/>
    <x v="518"/>
    <x v="518"/>
    <x v="0"/>
    <x v="0"/>
    <x v="0"/>
    <s v="No"/>
    <s v="Y"/>
    <n v="2"/>
    <n v="-2"/>
    <n v="0"/>
    <x v="8"/>
    <x v="1"/>
    <m/>
    <n v="0"/>
    <n v="1"/>
    <n v="243"/>
    <n v="7"/>
    <x v="2"/>
    <n v="1"/>
    <n v="4"/>
    <n v="46"/>
    <n v="2"/>
    <n v="2"/>
    <n v="1"/>
    <n v="4028"/>
    <n v="7791"/>
    <n v="0"/>
    <n v="20"/>
    <n v="4"/>
    <n v="1"/>
    <n v="80"/>
    <n v="0"/>
    <n v="8"/>
    <n v="3"/>
    <n v="7"/>
    <n v="7"/>
    <n v="0"/>
    <n v="5"/>
  </r>
  <r>
    <s v="No"/>
    <s v="Travel_Frequently"/>
    <x v="2"/>
    <s v="Current Employees"/>
    <x v="1"/>
    <x v="0"/>
    <x v="519"/>
    <x v="519"/>
    <x v="1"/>
    <x v="1"/>
    <x v="2"/>
    <s v="No"/>
    <s v="Y"/>
    <n v="5"/>
    <n v="-2"/>
    <n v="0"/>
    <x v="11"/>
    <x v="1"/>
    <m/>
    <n v="0"/>
    <n v="1"/>
    <n v="806"/>
    <n v="1"/>
    <x v="2"/>
    <n v="1"/>
    <n v="2"/>
    <n v="76"/>
    <n v="1"/>
    <n v="1"/>
    <n v="4"/>
    <n v="2720"/>
    <n v="18959"/>
    <n v="1"/>
    <n v="18"/>
    <n v="3"/>
    <n v="4"/>
    <n v="80"/>
    <n v="1"/>
    <n v="10"/>
    <n v="3"/>
    <n v="10"/>
    <n v="7"/>
    <n v="2"/>
    <n v="8"/>
  </r>
  <r>
    <s v="No"/>
    <s v="Travel_Rarely"/>
    <x v="1"/>
    <s v="Current Employees"/>
    <x v="0"/>
    <x v="3"/>
    <x v="520"/>
    <x v="520"/>
    <x v="1"/>
    <x v="0"/>
    <x v="1"/>
    <s v="No"/>
    <s v="Y"/>
    <n v="3"/>
    <n v="-2"/>
    <n v="0"/>
    <x v="26"/>
    <x v="1"/>
    <m/>
    <n v="0"/>
    <n v="1"/>
    <n v="817"/>
    <n v="2"/>
    <x v="1"/>
    <n v="1"/>
    <n v="2"/>
    <n v="56"/>
    <n v="4"/>
    <n v="2"/>
    <n v="1"/>
    <n v="8120"/>
    <n v="18597"/>
    <n v="3"/>
    <n v="12"/>
    <n v="3"/>
    <n v="4"/>
    <n v="80"/>
    <n v="0"/>
    <n v="12"/>
    <n v="3"/>
    <n v="2"/>
    <n v="2"/>
    <n v="2"/>
    <n v="2"/>
  </r>
  <r>
    <s v="No"/>
    <s v="Travel_Frequently"/>
    <x v="2"/>
    <s v="Current Employees"/>
    <x v="0"/>
    <x v="2"/>
    <x v="521"/>
    <x v="521"/>
    <x v="0"/>
    <x v="0"/>
    <x v="2"/>
    <s v="Yes"/>
    <s v="Y"/>
    <n v="3"/>
    <n v="-2"/>
    <n v="0"/>
    <x v="4"/>
    <x v="1"/>
    <m/>
    <n v="0"/>
    <n v="1"/>
    <n v="1410"/>
    <n v="3"/>
    <x v="1"/>
    <n v="1"/>
    <n v="4"/>
    <n v="71"/>
    <n v="4"/>
    <n v="2"/>
    <n v="4"/>
    <n v="4647"/>
    <n v="16673"/>
    <n v="1"/>
    <n v="20"/>
    <n v="4"/>
    <n v="2"/>
    <n v="80"/>
    <n v="2"/>
    <n v="6"/>
    <n v="3"/>
    <n v="6"/>
    <n v="5"/>
    <n v="0"/>
    <n v="4"/>
  </r>
  <r>
    <s v="No"/>
    <s v="Travel_Rarely"/>
    <x v="0"/>
    <s v="Current Employees"/>
    <x v="1"/>
    <x v="0"/>
    <x v="522"/>
    <x v="522"/>
    <x v="1"/>
    <x v="1"/>
    <x v="0"/>
    <s v="No"/>
    <s v="Y"/>
    <n v="2"/>
    <n v="-2"/>
    <n v="0"/>
    <x v="2"/>
    <x v="1"/>
    <m/>
    <n v="0"/>
    <n v="1"/>
    <n v="1225"/>
    <n v="10"/>
    <x v="0"/>
    <n v="1"/>
    <n v="4"/>
    <n v="80"/>
    <n v="4"/>
    <n v="1"/>
    <n v="4"/>
    <n v="4680"/>
    <n v="15232"/>
    <n v="3"/>
    <n v="17"/>
    <n v="3"/>
    <n v="1"/>
    <n v="80"/>
    <n v="0"/>
    <n v="4"/>
    <n v="3"/>
    <n v="1"/>
    <n v="0"/>
    <n v="0"/>
    <n v="0"/>
  </r>
  <r>
    <s v="No"/>
    <s v="Travel_Rarely"/>
    <x v="1"/>
    <s v="Current Employees"/>
    <x v="1"/>
    <x v="2"/>
    <x v="523"/>
    <x v="523"/>
    <x v="1"/>
    <x v="2"/>
    <x v="1"/>
    <s v="Yes"/>
    <s v="Y"/>
    <n v="3"/>
    <n v="-2"/>
    <n v="0"/>
    <x v="24"/>
    <x v="1"/>
    <m/>
    <n v="0"/>
    <n v="1"/>
    <n v="1207"/>
    <n v="28"/>
    <x v="1"/>
    <n v="1"/>
    <n v="4"/>
    <n v="74"/>
    <n v="4"/>
    <n v="1"/>
    <n v="3"/>
    <n v="3221"/>
    <n v="3297"/>
    <n v="1"/>
    <n v="11"/>
    <n v="3"/>
    <n v="3"/>
    <n v="80"/>
    <n v="3"/>
    <n v="20"/>
    <n v="3"/>
    <n v="20"/>
    <n v="8"/>
    <n v="3"/>
    <n v="8"/>
  </r>
  <r>
    <s v="No"/>
    <s v="Travel_Rarely"/>
    <x v="2"/>
    <s v="Current Employees"/>
    <x v="1"/>
    <x v="2"/>
    <x v="524"/>
    <x v="524"/>
    <x v="0"/>
    <x v="4"/>
    <x v="0"/>
    <s v="No"/>
    <s v="Y"/>
    <n v="3"/>
    <n v="-2"/>
    <n v="0"/>
    <x v="13"/>
    <x v="1"/>
    <m/>
    <n v="0"/>
    <n v="1"/>
    <n v="1442"/>
    <n v="9"/>
    <x v="3"/>
    <n v="1"/>
    <n v="4"/>
    <n v="46"/>
    <n v="2"/>
    <n v="3"/>
    <n v="3"/>
    <n v="8621"/>
    <n v="17654"/>
    <n v="1"/>
    <n v="14"/>
    <n v="3"/>
    <n v="2"/>
    <n v="80"/>
    <n v="0"/>
    <n v="9"/>
    <n v="4"/>
    <n v="8"/>
    <n v="7"/>
    <n v="7"/>
    <n v="7"/>
  </r>
  <r>
    <s v="Yes"/>
    <s v="Travel_Rarely"/>
    <x v="4"/>
    <s v="Ex-Employees"/>
    <x v="0"/>
    <x v="0"/>
    <x v="525"/>
    <x v="525"/>
    <x v="0"/>
    <x v="0"/>
    <x v="0"/>
    <s v="No"/>
    <s v="Y"/>
    <n v="3"/>
    <n v="-2"/>
    <n v="0"/>
    <x v="17"/>
    <x v="0"/>
    <n v="1"/>
    <n v="1"/>
    <n v="0"/>
    <n v="693"/>
    <n v="3"/>
    <x v="0"/>
    <n v="1"/>
    <n v="1"/>
    <n v="65"/>
    <n v="3"/>
    <n v="2"/>
    <n v="3"/>
    <n v="4577"/>
    <n v="24785"/>
    <n v="9"/>
    <n v="14"/>
    <n v="3"/>
    <n v="1"/>
    <n v="80"/>
    <n v="0"/>
    <n v="4"/>
    <n v="3"/>
    <n v="2"/>
    <n v="2"/>
    <n v="2"/>
    <n v="0"/>
  </r>
  <r>
    <s v="No"/>
    <s v="Travel_Rarely"/>
    <x v="0"/>
    <s v="Current Employees"/>
    <x v="1"/>
    <x v="4"/>
    <x v="526"/>
    <x v="526"/>
    <x v="0"/>
    <x v="4"/>
    <x v="0"/>
    <s v="No"/>
    <s v="Y"/>
    <n v="4"/>
    <n v="-2"/>
    <n v="0"/>
    <x v="22"/>
    <x v="1"/>
    <m/>
    <n v="0"/>
    <n v="1"/>
    <n v="408"/>
    <n v="2"/>
    <x v="2"/>
    <n v="1"/>
    <n v="4"/>
    <n v="80"/>
    <n v="2"/>
    <n v="2"/>
    <n v="4"/>
    <n v="4553"/>
    <n v="20978"/>
    <n v="1"/>
    <n v="11"/>
    <n v="3"/>
    <n v="1"/>
    <n v="80"/>
    <n v="0"/>
    <n v="20"/>
    <n v="3"/>
    <n v="20"/>
    <n v="7"/>
    <n v="11"/>
    <n v="10"/>
  </r>
  <r>
    <s v="No"/>
    <s v="Travel_Rarely"/>
    <x v="2"/>
    <s v="Current Employees"/>
    <x v="0"/>
    <x v="3"/>
    <x v="527"/>
    <x v="527"/>
    <x v="1"/>
    <x v="0"/>
    <x v="0"/>
    <s v="No"/>
    <s v="Y"/>
    <n v="2"/>
    <n v="-2"/>
    <n v="0"/>
    <x v="5"/>
    <x v="1"/>
    <m/>
    <n v="0"/>
    <n v="1"/>
    <n v="929"/>
    <n v="10"/>
    <x v="3"/>
    <n v="1"/>
    <n v="4"/>
    <n v="55"/>
    <n v="3"/>
    <n v="2"/>
    <n v="1"/>
    <n v="5396"/>
    <n v="21703"/>
    <n v="1"/>
    <n v="12"/>
    <n v="3"/>
    <n v="4"/>
    <n v="80"/>
    <n v="0"/>
    <n v="10"/>
    <n v="2"/>
    <n v="10"/>
    <n v="7"/>
    <n v="0"/>
    <n v="8"/>
  </r>
  <r>
    <s v="Yes"/>
    <s v="Travel_Frequently"/>
    <x v="1"/>
    <s v="Ex-Employees"/>
    <x v="0"/>
    <x v="4"/>
    <x v="528"/>
    <x v="528"/>
    <x v="1"/>
    <x v="0"/>
    <x v="1"/>
    <s v="Yes"/>
    <s v="Y"/>
    <n v="4"/>
    <n v="-2"/>
    <n v="0"/>
    <x v="24"/>
    <x v="0"/>
    <n v="1"/>
    <n v="1"/>
    <n v="0"/>
    <n v="562"/>
    <n v="8"/>
    <x v="0"/>
    <n v="1"/>
    <n v="4"/>
    <n v="50"/>
    <n v="3"/>
    <n v="2"/>
    <n v="4"/>
    <n v="6796"/>
    <n v="23452"/>
    <n v="3"/>
    <n v="14"/>
    <n v="3"/>
    <n v="1"/>
    <n v="80"/>
    <n v="1"/>
    <n v="18"/>
    <n v="3"/>
    <n v="4"/>
    <n v="3"/>
    <n v="1"/>
    <n v="3"/>
  </r>
  <r>
    <s v="No"/>
    <s v="Travel_Rarely"/>
    <x v="0"/>
    <s v="Current Employees"/>
    <x v="1"/>
    <x v="0"/>
    <x v="529"/>
    <x v="529"/>
    <x v="0"/>
    <x v="4"/>
    <x v="0"/>
    <s v="No"/>
    <s v="Y"/>
    <n v="4"/>
    <n v="-2"/>
    <n v="0"/>
    <x v="8"/>
    <x v="1"/>
    <m/>
    <n v="0"/>
    <n v="1"/>
    <n v="827"/>
    <n v="1"/>
    <x v="2"/>
    <n v="1"/>
    <n v="2"/>
    <n v="33"/>
    <n v="4"/>
    <n v="2"/>
    <n v="4"/>
    <n v="7625"/>
    <n v="19383"/>
    <n v="0"/>
    <n v="13"/>
    <n v="3"/>
    <n v="3"/>
    <n v="80"/>
    <n v="0"/>
    <n v="10"/>
    <n v="2"/>
    <n v="9"/>
    <n v="7"/>
    <n v="1"/>
    <n v="8"/>
  </r>
  <r>
    <s v="No"/>
    <s v="Travel_Rarely"/>
    <x v="2"/>
    <s v="Current Employees"/>
    <x v="1"/>
    <x v="0"/>
    <x v="530"/>
    <x v="530"/>
    <x v="0"/>
    <x v="3"/>
    <x v="1"/>
    <s v="No"/>
    <s v="Y"/>
    <n v="3"/>
    <n v="-2"/>
    <n v="0"/>
    <x v="4"/>
    <x v="1"/>
    <m/>
    <n v="0"/>
    <n v="1"/>
    <n v="608"/>
    <n v="1"/>
    <x v="0"/>
    <n v="1"/>
    <n v="3"/>
    <n v="68"/>
    <n v="3"/>
    <n v="3"/>
    <n v="3"/>
    <n v="7412"/>
    <n v="6009"/>
    <n v="1"/>
    <n v="11"/>
    <n v="3"/>
    <n v="4"/>
    <n v="80"/>
    <n v="0"/>
    <n v="9"/>
    <n v="3"/>
    <n v="9"/>
    <n v="7"/>
    <n v="0"/>
    <n v="7"/>
  </r>
  <r>
    <s v="No"/>
    <s v="Travel_Rarely"/>
    <x v="2"/>
    <s v="Current Employees"/>
    <x v="1"/>
    <x v="0"/>
    <x v="531"/>
    <x v="531"/>
    <x v="0"/>
    <x v="7"/>
    <x v="0"/>
    <s v="No"/>
    <s v="Y"/>
    <n v="6"/>
    <n v="-2"/>
    <n v="0"/>
    <x v="5"/>
    <x v="1"/>
    <m/>
    <n v="0"/>
    <n v="1"/>
    <n v="1018"/>
    <n v="3"/>
    <x v="0"/>
    <n v="1"/>
    <n v="3"/>
    <n v="39"/>
    <n v="3"/>
    <n v="3"/>
    <n v="4"/>
    <n v="11159"/>
    <n v="19373"/>
    <n v="3"/>
    <n v="15"/>
    <n v="3"/>
    <n v="4"/>
    <n v="80"/>
    <n v="0"/>
    <n v="10"/>
    <n v="3"/>
    <n v="7"/>
    <n v="7"/>
    <n v="7"/>
    <n v="7"/>
  </r>
  <r>
    <s v="No"/>
    <s v="Travel_Rarely"/>
    <x v="1"/>
    <s v="Current Employees"/>
    <x v="0"/>
    <x v="3"/>
    <x v="532"/>
    <x v="532"/>
    <x v="1"/>
    <x v="0"/>
    <x v="0"/>
    <s v="No"/>
    <s v="Y"/>
    <n v="2"/>
    <n v="-2"/>
    <n v="0"/>
    <x v="40"/>
    <x v="1"/>
    <m/>
    <n v="0"/>
    <n v="1"/>
    <n v="703"/>
    <n v="14"/>
    <x v="2"/>
    <n v="1"/>
    <n v="4"/>
    <n v="42"/>
    <n v="3"/>
    <n v="2"/>
    <n v="1"/>
    <n v="4960"/>
    <n v="11825"/>
    <n v="2"/>
    <n v="12"/>
    <n v="3"/>
    <n v="4"/>
    <n v="80"/>
    <n v="0"/>
    <n v="20"/>
    <n v="3"/>
    <n v="7"/>
    <n v="7"/>
    <n v="1"/>
    <n v="7"/>
  </r>
  <r>
    <s v="No"/>
    <s v="Travel_Frequently"/>
    <x v="0"/>
    <s v="Current Employees"/>
    <x v="0"/>
    <x v="0"/>
    <x v="533"/>
    <x v="533"/>
    <x v="1"/>
    <x v="0"/>
    <x v="1"/>
    <s v="Yes"/>
    <s v="Y"/>
    <n v="2"/>
    <n v="-2"/>
    <n v="0"/>
    <x v="32"/>
    <x v="1"/>
    <m/>
    <n v="0"/>
    <n v="1"/>
    <n v="580"/>
    <n v="5"/>
    <x v="2"/>
    <n v="1"/>
    <n v="4"/>
    <n v="48"/>
    <n v="2"/>
    <n v="3"/>
    <n v="3"/>
    <n v="10475"/>
    <n v="23772"/>
    <n v="5"/>
    <n v="21"/>
    <n v="4"/>
    <n v="3"/>
    <n v="80"/>
    <n v="1"/>
    <n v="20"/>
    <n v="3"/>
    <n v="18"/>
    <n v="13"/>
    <n v="1"/>
    <n v="12"/>
  </r>
  <r>
    <s v="No"/>
    <s v="Travel_Rarely"/>
    <x v="1"/>
    <s v="Current Employees"/>
    <x v="1"/>
    <x v="0"/>
    <x v="534"/>
    <x v="534"/>
    <x v="1"/>
    <x v="7"/>
    <x v="1"/>
    <s v="No"/>
    <s v="Y"/>
    <n v="3"/>
    <n v="-2"/>
    <n v="0"/>
    <x v="16"/>
    <x v="1"/>
    <m/>
    <n v="0"/>
    <n v="1"/>
    <n v="970"/>
    <n v="7"/>
    <x v="3"/>
    <n v="1"/>
    <n v="3"/>
    <n v="59"/>
    <n v="4"/>
    <n v="4"/>
    <n v="3"/>
    <n v="14814"/>
    <n v="13514"/>
    <n v="3"/>
    <n v="19"/>
    <n v="3"/>
    <n v="3"/>
    <n v="80"/>
    <n v="0"/>
    <n v="32"/>
    <n v="3"/>
    <n v="5"/>
    <n v="1"/>
    <n v="1"/>
    <n v="3"/>
  </r>
  <r>
    <s v="No"/>
    <s v="Travel_Rarely"/>
    <x v="0"/>
    <s v="Current Employees"/>
    <x v="2"/>
    <x v="5"/>
    <x v="535"/>
    <x v="535"/>
    <x v="1"/>
    <x v="5"/>
    <x v="2"/>
    <s v="No"/>
    <s v="Y"/>
    <n v="2"/>
    <n v="-2"/>
    <n v="0"/>
    <x v="0"/>
    <x v="1"/>
    <m/>
    <n v="0"/>
    <n v="1"/>
    <n v="427"/>
    <n v="10"/>
    <x v="2"/>
    <n v="1"/>
    <n v="2"/>
    <n v="73"/>
    <n v="2"/>
    <n v="5"/>
    <n v="4"/>
    <n v="19141"/>
    <n v="8861"/>
    <n v="3"/>
    <n v="15"/>
    <n v="3"/>
    <n v="2"/>
    <n v="80"/>
    <n v="3"/>
    <n v="23"/>
    <n v="2"/>
    <n v="21"/>
    <n v="6"/>
    <n v="12"/>
    <n v="6"/>
  </r>
  <r>
    <s v="No"/>
    <s v="Travel_Rarely"/>
    <x v="3"/>
    <s v="Current Employees"/>
    <x v="0"/>
    <x v="3"/>
    <x v="536"/>
    <x v="536"/>
    <x v="1"/>
    <x v="0"/>
    <x v="0"/>
    <s v="No"/>
    <s v="Y"/>
    <n v="1"/>
    <n v="-2"/>
    <n v="0"/>
    <x v="42"/>
    <x v="1"/>
    <m/>
    <n v="0"/>
    <n v="1"/>
    <n v="1179"/>
    <n v="16"/>
    <x v="2"/>
    <n v="1"/>
    <n v="1"/>
    <n v="84"/>
    <n v="3"/>
    <n v="2"/>
    <n v="1"/>
    <n v="5405"/>
    <n v="11924"/>
    <n v="8"/>
    <n v="14"/>
    <n v="3"/>
    <n v="4"/>
    <n v="80"/>
    <n v="0"/>
    <n v="10"/>
    <n v="3"/>
    <n v="2"/>
    <n v="2"/>
    <n v="2"/>
    <n v="2"/>
  </r>
  <r>
    <s v="No"/>
    <s v="Travel_Frequently"/>
    <x v="2"/>
    <s v="Current Employees"/>
    <x v="1"/>
    <x v="0"/>
    <x v="537"/>
    <x v="537"/>
    <x v="1"/>
    <x v="3"/>
    <x v="2"/>
    <s v="No"/>
    <s v="Y"/>
    <n v="4"/>
    <n v="-2"/>
    <n v="0"/>
    <x v="4"/>
    <x v="1"/>
    <m/>
    <n v="0"/>
    <n v="1"/>
    <n v="294"/>
    <n v="10"/>
    <x v="0"/>
    <n v="1"/>
    <n v="4"/>
    <n v="32"/>
    <n v="3"/>
    <n v="3"/>
    <n v="3"/>
    <n v="8793"/>
    <n v="4809"/>
    <n v="1"/>
    <n v="21"/>
    <n v="4"/>
    <n v="3"/>
    <n v="80"/>
    <n v="2"/>
    <n v="9"/>
    <n v="2"/>
    <n v="9"/>
    <n v="7"/>
    <n v="1"/>
    <n v="7"/>
  </r>
  <r>
    <s v="No"/>
    <s v="Travel_Rarely"/>
    <x v="0"/>
    <s v="Current Employees"/>
    <x v="2"/>
    <x v="5"/>
    <x v="538"/>
    <x v="538"/>
    <x v="1"/>
    <x v="5"/>
    <x v="1"/>
    <s v="No"/>
    <s v="Y"/>
    <n v="3"/>
    <n v="-2"/>
    <n v="0"/>
    <x v="0"/>
    <x v="1"/>
    <m/>
    <n v="0"/>
    <n v="1"/>
    <n v="314"/>
    <n v="1"/>
    <x v="3"/>
    <n v="1"/>
    <n v="4"/>
    <n v="59"/>
    <n v="2"/>
    <n v="5"/>
    <n v="3"/>
    <n v="19189"/>
    <n v="19562"/>
    <n v="1"/>
    <n v="12"/>
    <n v="3"/>
    <n v="2"/>
    <n v="80"/>
    <n v="1"/>
    <n v="22"/>
    <n v="3"/>
    <n v="22"/>
    <n v="7"/>
    <n v="2"/>
    <n v="10"/>
  </r>
  <r>
    <s v="No"/>
    <s v="Travel_Rarely"/>
    <x v="1"/>
    <s v="Current Employees"/>
    <x v="0"/>
    <x v="3"/>
    <x v="539"/>
    <x v="539"/>
    <x v="1"/>
    <x v="6"/>
    <x v="1"/>
    <s v="No"/>
    <s v="Y"/>
    <n v="2"/>
    <n v="-2"/>
    <n v="0"/>
    <x v="24"/>
    <x v="1"/>
    <m/>
    <n v="0"/>
    <n v="1"/>
    <n v="316"/>
    <n v="8"/>
    <x v="2"/>
    <n v="1"/>
    <n v="4"/>
    <n v="54"/>
    <n v="3"/>
    <n v="1"/>
    <n v="1"/>
    <n v="3875"/>
    <n v="9983"/>
    <n v="7"/>
    <n v="15"/>
    <n v="3"/>
    <n v="4"/>
    <n v="80"/>
    <n v="1"/>
    <n v="4"/>
    <n v="3"/>
    <n v="2"/>
    <n v="2"/>
    <n v="2"/>
    <n v="2"/>
  </r>
  <r>
    <s v="Yes"/>
    <s v="Travel_Rarely"/>
    <x v="2"/>
    <s v="Ex-Employees"/>
    <x v="1"/>
    <x v="0"/>
    <x v="540"/>
    <x v="540"/>
    <x v="0"/>
    <x v="1"/>
    <x v="0"/>
    <s v="Yes"/>
    <s v="Y"/>
    <n v="4"/>
    <n v="-2"/>
    <n v="0"/>
    <x v="14"/>
    <x v="0"/>
    <n v="1"/>
    <n v="1"/>
    <n v="0"/>
    <n v="654"/>
    <n v="1"/>
    <x v="0"/>
    <n v="1"/>
    <n v="1"/>
    <n v="67"/>
    <n v="1"/>
    <n v="1"/>
    <n v="3"/>
    <n v="2216"/>
    <n v="3872"/>
    <n v="7"/>
    <n v="13"/>
    <n v="3"/>
    <n v="4"/>
    <n v="80"/>
    <n v="0"/>
    <n v="10"/>
    <n v="3"/>
    <n v="7"/>
    <n v="7"/>
    <n v="3"/>
    <n v="7"/>
  </r>
  <r>
    <s v="No"/>
    <s v="Non-Travel"/>
    <x v="0"/>
    <s v="Current Employees"/>
    <x v="1"/>
    <x v="0"/>
    <x v="541"/>
    <x v="541"/>
    <x v="0"/>
    <x v="7"/>
    <x v="1"/>
    <s v="No"/>
    <s v="Y"/>
    <n v="2"/>
    <n v="-2"/>
    <n v="0"/>
    <x v="9"/>
    <x v="1"/>
    <m/>
    <n v="0"/>
    <n v="1"/>
    <n v="427"/>
    <n v="8"/>
    <x v="3"/>
    <n v="1"/>
    <n v="1"/>
    <n v="63"/>
    <n v="4"/>
    <n v="3"/>
    <n v="3"/>
    <n v="11713"/>
    <n v="20335"/>
    <n v="9"/>
    <n v="14"/>
    <n v="3"/>
    <n v="1"/>
    <n v="80"/>
    <n v="1"/>
    <n v="10"/>
    <n v="3"/>
    <n v="8"/>
    <n v="7"/>
    <n v="0"/>
    <n v="5"/>
  </r>
  <r>
    <s v="No"/>
    <s v="Travel_Rarely"/>
    <x v="0"/>
    <s v="Current Employees"/>
    <x v="1"/>
    <x v="0"/>
    <x v="542"/>
    <x v="542"/>
    <x v="0"/>
    <x v="3"/>
    <x v="0"/>
    <s v="Yes"/>
    <s v="Y"/>
    <n v="4"/>
    <n v="-2"/>
    <n v="0"/>
    <x v="8"/>
    <x v="1"/>
    <m/>
    <n v="0"/>
    <n v="1"/>
    <n v="168"/>
    <n v="1"/>
    <x v="3"/>
    <n v="1"/>
    <n v="3"/>
    <n v="81"/>
    <n v="3"/>
    <n v="3"/>
    <n v="3"/>
    <n v="7861"/>
    <n v="15397"/>
    <n v="4"/>
    <n v="14"/>
    <n v="3"/>
    <n v="4"/>
    <n v="80"/>
    <n v="0"/>
    <n v="10"/>
    <n v="4"/>
    <n v="1"/>
    <n v="0"/>
    <n v="0"/>
    <n v="0"/>
  </r>
  <r>
    <s v="No"/>
    <s v="Non-Travel"/>
    <x v="0"/>
    <s v="Current Employees"/>
    <x v="1"/>
    <x v="2"/>
    <x v="543"/>
    <x v="543"/>
    <x v="1"/>
    <x v="2"/>
    <x v="0"/>
    <s v="No"/>
    <s v="Y"/>
    <n v="5"/>
    <n v="-2"/>
    <n v="0"/>
    <x v="20"/>
    <x v="1"/>
    <m/>
    <n v="0"/>
    <n v="1"/>
    <n v="381"/>
    <n v="24"/>
    <x v="3"/>
    <n v="1"/>
    <n v="1"/>
    <n v="49"/>
    <n v="1"/>
    <n v="1"/>
    <n v="3"/>
    <n v="3708"/>
    <n v="2104"/>
    <n v="2"/>
    <n v="14"/>
    <n v="3"/>
    <n v="3"/>
    <n v="80"/>
    <n v="0"/>
    <n v="9"/>
    <n v="3"/>
    <n v="5"/>
    <n v="2"/>
    <n v="1"/>
    <n v="4"/>
  </r>
  <r>
    <s v="No"/>
    <s v="Travel_Frequently"/>
    <x v="1"/>
    <s v="Current Employees"/>
    <x v="0"/>
    <x v="2"/>
    <x v="544"/>
    <x v="544"/>
    <x v="0"/>
    <x v="0"/>
    <x v="2"/>
    <s v="Yes"/>
    <s v="Y"/>
    <n v="2"/>
    <n v="-2"/>
    <n v="0"/>
    <x v="40"/>
    <x v="1"/>
    <m/>
    <n v="0"/>
    <n v="1"/>
    <n v="217"/>
    <n v="3"/>
    <x v="3"/>
    <n v="1"/>
    <n v="4"/>
    <n v="49"/>
    <n v="3"/>
    <n v="4"/>
    <n v="3"/>
    <n v="13770"/>
    <n v="10225"/>
    <n v="9"/>
    <n v="12"/>
    <n v="3"/>
    <n v="4"/>
    <n v="80"/>
    <n v="2"/>
    <n v="28"/>
    <n v="2"/>
    <n v="22"/>
    <n v="2"/>
    <n v="11"/>
    <n v="13"/>
  </r>
  <r>
    <s v="No"/>
    <s v="Travel_Rarely"/>
    <x v="2"/>
    <s v="Current Employees"/>
    <x v="0"/>
    <x v="3"/>
    <x v="545"/>
    <x v="545"/>
    <x v="1"/>
    <x v="0"/>
    <x v="2"/>
    <s v="No"/>
    <s v="Y"/>
    <n v="2"/>
    <n v="-2"/>
    <n v="0"/>
    <x v="7"/>
    <x v="1"/>
    <m/>
    <n v="0"/>
    <n v="1"/>
    <n v="501"/>
    <n v="27"/>
    <x v="4"/>
    <n v="1"/>
    <n v="3"/>
    <n v="99"/>
    <n v="3"/>
    <n v="2"/>
    <n v="1"/>
    <n v="5304"/>
    <n v="25275"/>
    <n v="7"/>
    <n v="23"/>
    <n v="4"/>
    <n v="4"/>
    <n v="80"/>
    <n v="1"/>
    <n v="10"/>
    <n v="2"/>
    <n v="8"/>
    <n v="7"/>
    <n v="7"/>
    <n v="7"/>
  </r>
  <r>
    <s v="No"/>
    <s v="Travel_Rarely"/>
    <x v="2"/>
    <s v="Current Employees"/>
    <x v="0"/>
    <x v="0"/>
    <x v="546"/>
    <x v="546"/>
    <x v="1"/>
    <x v="6"/>
    <x v="0"/>
    <s v="No"/>
    <s v="Y"/>
    <n v="6"/>
    <n v="-2"/>
    <n v="0"/>
    <x v="11"/>
    <x v="1"/>
    <m/>
    <n v="0"/>
    <n v="1"/>
    <n v="1396"/>
    <n v="10"/>
    <x v="3"/>
    <n v="1"/>
    <n v="3"/>
    <n v="99"/>
    <n v="3"/>
    <n v="1"/>
    <n v="3"/>
    <n v="2642"/>
    <n v="2755"/>
    <n v="1"/>
    <n v="11"/>
    <n v="3"/>
    <n v="3"/>
    <n v="80"/>
    <n v="0"/>
    <n v="1"/>
    <n v="3"/>
    <n v="1"/>
    <n v="0"/>
    <n v="0"/>
    <n v="0"/>
  </r>
  <r>
    <s v="Yes"/>
    <s v="Travel_Frequently"/>
    <x v="0"/>
    <s v="Ex-Employees"/>
    <x v="1"/>
    <x v="2"/>
    <x v="547"/>
    <x v="547"/>
    <x v="1"/>
    <x v="1"/>
    <x v="2"/>
    <s v="Yes"/>
    <s v="Y"/>
    <n v="2"/>
    <n v="-2"/>
    <n v="0"/>
    <x v="19"/>
    <x v="0"/>
    <n v="1"/>
    <n v="1"/>
    <n v="0"/>
    <n v="933"/>
    <n v="19"/>
    <x v="3"/>
    <n v="1"/>
    <n v="3"/>
    <n v="57"/>
    <n v="4"/>
    <n v="1"/>
    <n v="3"/>
    <n v="2759"/>
    <n v="20366"/>
    <n v="6"/>
    <n v="12"/>
    <n v="3"/>
    <n v="4"/>
    <n v="80"/>
    <n v="0"/>
    <n v="7"/>
    <n v="3"/>
    <n v="2"/>
    <n v="2"/>
    <n v="2"/>
    <n v="2"/>
  </r>
  <r>
    <s v="No"/>
    <s v="Travel_Frequently"/>
    <x v="0"/>
    <s v="Current Employees"/>
    <x v="0"/>
    <x v="0"/>
    <x v="548"/>
    <x v="548"/>
    <x v="1"/>
    <x v="0"/>
    <x v="1"/>
    <s v="No"/>
    <s v="Y"/>
    <n v="5"/>
    <n v="-2"/>
    <n v="0"/>
    <x v="23"/>
    <x v="1"/>
    <m/>
    <n v="0"/>
    <n v="1"/>
    <n v="775"/>
    <n v="15"/>
    <x v="3"/>
    <n v="1"/>
    <n v="4"/>
    <n v="47"/>
    <n v="2"/>
    <n v="2"/>
    <n v="4"/>
    <n v="6804"/>
    <n v="23683"/>
    <n v="3"/>
    <n v="18"/>
    <n v="3"/>
    <n v="3"/>
    <n v="80"/>
    <n v="1"/>
    <n v="7"/>
    <n v="3"/>
    <n v="2"/>
    <n v="2"/>
    <n v="2"/>
    <n v="2"/>
  </r>
  <r>
    <s v="No"/>
    <s v="Travel_Rarely"/>
    <x v="2"/>
    <s v="Current Employees"/>
    <x v="1"/>
    <x v="2"/>
    <x v="549"/>
    <x v="549"/>
    <x v="0"/>
    <x v="4"/>
    <x v="0"/>
    <s v="No"/>
    <s v="Y"/>
    <n v="2"/>
    <n v="-2"/>
    <n v="0"/>
    <x v="13"/>
    <x v="1"/>
    <m/>
    <n v="0"/>
    <n v="1"/>
    <n v="970"/>
    <n v="8"/>
    <x v="0"/>
    <n v="1"/>
    <n v="2"/>
    <n v="96"/>
    <n v="3"/>
    <n v="2"/>
    <n v="3"/>
    <n v="6142"/>
    <n v="7360"/>
    <n v="3"/>
    <n v="11"/>
    <n v="3"/>
    <n v="4"/>
    <n v="80"/>
    <n v="0"/>
    <n v="10"/>
    <n v="3"/>
    <n v="5"/>
    <n v="1"/>
    <n v="4"/>
    <n v="3"/>
  </r>
  <r>
    <s v="No"/>
    <s v="Travel_Rarely"/>
    <x v="4"/>
    <s v="Current Employees"/>
    <x v="1"/>
    <x v="2"/>
    <x v="550"/>
    <x v="550"/>
    <x v="1"/>
    <x v="2"/>
    <x v="1"/>
    <s v="No"/>
    <s v="Y"/>
    <n v="2"/>
    <n v="-2"/>
    <n v="0"/>
    <x v="30"/>
    <x v="1"/>
    <m/>
    <n v="0"/>
    <n v="1"/>
    <n v="650"/>
    <n v="9"/>
    <x v="1"/>
    <n v="1"/>
    <n v="2"/>
    <n v="37"/>
    <n v="3"/>
    <n v="1"/>
    <n v="3"/>
    <n v="2500"/>
    <n v="4344"/>
    <n v="1"/>
    <n v="14"/>
    <n v="3"/>
    <n v="4"/>
    <n v="80"/>
    <n v="1"/>
    <n v="5"/>
    <n v="4"/>
    <n v="4"/>
    <n v="3"/>
    <n v="0"/>
    <n v="2"/>
  </r>
  <r>
    <s v="No"/>
    <s v="Travel_Rarely"/>
    <x v="0"/>
    <s v="Current Employees"/>
    <x v="2"/>
    <x v="5"/>
    <x v="551"/>
    <x v="551"/>
    <x v="0"/>
    <x v="8"/>
    <x v="1"/>
    <s v="No"/>
    <s v="Y"/>
    <n v="3"/>
    <n v="-2"/>
    <n v="0"/>
    <x v="22"/>
    <x v="1"/>
    <m/>
    <n v="0"/>
    <n v="1"/>
    <n v="141"/>
    <n v="3"/>
    <x v="3"/>
    <n v="1"/>
    <n v="3"/>
    <n v="44"/>
    <n v="4"/>
    <n v="2"/>
    <n v="3"/>
    <n v="6389"/>
    <n v="18767"/>
    <n v="9"/>
    <n v="15"/>
    <n v="3"/>
    <n v="3"/>
    <n v="80"/>
    <n v="1"/>
    <n v="12"/>
    <n v="1"/>
    <n v="8"/>
    <n v="3"/>
    <n v="3"/>
    <n v="6"/>
  </r>
  <r>
    <s v="No"/>
    <s v="Travel_Rarely"/>
    <x v="3"/>
    <s v="Current Employees"/>
    <x v="1"/>
    <x v="2"/>
    <x v="552"/>
    <x v="552"/>
    <x v="1"/>
    <x v="4"/>
    <x v="1"/>
    <s v="No"/>
    <s v="Y"/>
    <n v="1"/>
    <n v="-2"/>
    <n v="0"/>
    <x v="29"/>
    <x v="1"/>
    <m/>
    <n v="0"/>
    <n v="1"/>
    <n v="832"/>
    <n v="9"/>
    <x v="3"/>
    <n v="1"/>
    <n v="3"/>
    <n v="81"/>
    <n v="3"/>
    <n v="4"/>
    <n v="4"/>
    <n v="11103"/>
    <n v="20420"/>
    <n v="7"/>
    <n v="11"/>
    <n v="3"/>
    <n v="3"/>
    <n v="80"/>
    <n v="0"/>
    <n v="30"/>
    <n v="2"/>
    <n v="10"/>
    <n v="7"/>
    <n v="1"/>
    <n v="1"/>
  </r>
  <r>
    <s v="No"/>
    <s v="Travel_Rarely"/>
    <x v="0"/>
    <s v="Current Employees"/>
    <x v="1"/>
    <x v="2"/>
    <x v="553"/>
    <x v="553"/>
    <x v="0"/>
    <x v="1"/>
    <x v="0"/>
    <s v="Yes"/>
    <s v="Y"/>
    <n v="2"/>
    <n v="-2"/>
    <n v="0"/>
    <x v="32"/>
    <x v="1"/>
    <m/>
    <n v="0"/>
    <n v="1"/>
    <n v="804"/>
    <n v="2"/>
    <x v="1"/>
    <n v="1"/>
    <n v="4"/>
    <n v="86"/>
    <n v="2"/>
    <n v="1"/>
    <n v="4"/>
    <n v="2342"/>
    <n v="22929"/>
    <n v="0"/>
    <n v="20"/>
    <n v="4"/>
    <n v="4"/>
    <n v="80"/>
    <n v="0"/>
    <n v="5"/>
    <n v="2"/>
    <n v="4"/>
    <n v="2"/>
    <n v="2"/>
    <n v="3"/>
  </r>
  <r>
    <s v="No"/>
    <s v="Travel_Rarely"/>
    <x v="2"/>
    <s v="Current Employees"/>
    <x v="1"/>
    <x v="2"/>
    <x v="554"/>
    <x v="554"/>
    <x v="0"/>
    <x v="4"/>
    <x v="0"/>
    <s v="No"/>
    <s v="Y"/>
    <n v="2"/>
    <n v="-2"/>
    <n v="0"/>
    <x v="4"/>
    <x v="1"/>
    <m/>
    <n v="0"/>
    <n v="1"/>
    <n v="975"/>
    <n v="7"/>
    <x v="3"/>
    <n v="1"/>
    <n v="4"/>
    <n v="55"/>
    <n v="2"/>
    <n v="2"/>
    <n v="3"/>
    <n v="6811"/>
    <n v="23398"/>
    <n v="8"/>
    <n v="19"/>
    <n v="3"/>
    <n v="1"/>
    <n v="80"/>
    <n v="0"/>
    <n v="9"/>
    <n v="1"/>
    <n v="7"/>
    <n v="6"/>
    <n v="0"/>
    <n v="7"/>
  </r>
  <r>
    <s v="No"/>
    <s v="Travel_Rarely"/>
    <x v="2"/>
    <s v="Current Employees"/>
    <x v="0"/>
    <x v="3"/>
    <x v="555"/>
    <x v="555"/>
    <x v="1"/>
    <x v="6"/>
    <x v="2"/>
    <s v="No"/>
    <s v="Y"/>
    <n v="2"/>
    <n v="-2"/>
    <n v="0"/>
    <x v="11"/>
    <x v="1"/>
    <m/>
    <n v="0"/>
    <n v="1"/>
    <n v="1090"/>
    <n v="10"/>
    <x v="3"/>
    <n v="1"/>
    <n v="4"/>
    <n v="83"/>
    <n v="3"/>
    <n v="1"/>
    <n v="2"/>
    <n v="2297"/>
    <n v="17967"/>
    <n v="1"/>
    <n v="14"/>
    <n v="3"/>
    <n v="4"/>
    <n v="80"/>
    <n v="2"/>
    <n v="2"/>
    <n v="3"/>
    <n v="2"/>
    <n v="2"/>
    <n v="2"/>
    <n v="2"/>
  </r>
  <r>
    <s v="No"/>
    <s v="Travel_Rarely"/>
    <x v="1"/>
    <s v="Current Employees"/>
    <x v="1"/>
    <x v="0"/>
    <x v="556"/>
    <x v="556"/>
    <x v="1"/>
    <x v="2"/>
    <x v="0"/>
    <s v="No"/>
    <s v="Y"/>
    <n v="4"/>
    <n v="-2"/>
    <n v="0"/>
    <x v="16"/>
    <x v="1"/>
    <m/>
    <n v="0"/>
    <n v="1"/>
    <n v="346"/>
    <n v="6"/>
    <x v="3"/>
    <n v="1"/>
    <n v="4"/>
    <n v="86"/>
    <n v="3"/>
    <n v="2"/>
    <n v="4"/>
    <n v="2450"/>
    <n v="10919"/>
    <n v="2"/>
    <n v="17"/>
    <n v="3"/>
    <n v="4"/>
    <n v="80"/>
    <n v="0"/>
    <n v="19"/>
    <n v="3"/>
    <n v="2"/>
    <n v="2"/>
    <n v="2"/>
    <n v="2"/>
  </r>
  <r>
    <s v="No"/>
    <s v="Non-Travel"/>
    <x v="0"/>
    <s v="Current Employees"/>
    <x v="1"/>
    <x v="0"/>
    <x v="557"/>
    <x v="557"/>
    <x v="0"/>
    <x v="4"/>
    <x v="2"/>
    <s v="No"/>
    <s v="Y"/>
    <n v="2"/>
    <n v="-2"/>
    <n v="0"/>
    <x v="10"/>
    <x v="1"/>
    <m/>
    <n v="0"/>
    <n v="1"/>
    <n v="1225"/>
    <n v="2"/>
    <x v="2"/>
    <n v="1"/>
    <n v="4"/>
    <n v="61"/>
    <n v="3"/>
    <n v="2"/>
    <n v="1"/>
    <n v="5093"/>
    <n v="4761"/>
    <n v="2"/>
    <n v="11"/>
    <n v="3"/>
    <n v="1"/>
    <n v="80"/>
    <n v="1"/>
    <n v="16"/>
    <n v="4"/>
    <n v="1"/>
    <n v="0"/>
    <n v="0"/>
    <n v="0"/>
  </r>
  <r>
    <s v="No"/>
    <s v="Travel_Frequently"/>
    <x v="2"/>
    <s v="Current Employees"/>
    <x v="1"/>
    <x v="0"/>
    <x v="558"/>
    <x v="558"/>
    <x v="1"/>
    <x v="2"/>
    <x v="1"/>
    <s v="No"/>
    <s v="Y"/>
    <n v="2"/>
    <n v="-2"/>
    <n v="0"/>
    <x v="5"/>
    <x v="1"/>
    <m/>
    <n v="0"/>
    <n v="1"/>
    <n v="430"/>
    <n v="24"/>
    <x v="2"/>
    <n v="1"/>
    <n v="1"/>
    <n v="80"/>
    <n v="3"/>
    <n v="2"/>
    <n v="1"/>
    <n v="5309"/>
    <n v="21146"/>
    <n v="1"/>
    <n v="15"/>
    <n v="3"/>
    <n v="4"/>
    <n v="80"/>
    <n v="2"/>
    <n v="10"/>
    <n v="3"/>
    <n v="10"/>
    <n v="8"/>
    <n v="4"/>
    <n v="7"/>
  </r>
  <r>
    <s v="No"/>
    <s v="Travel_Rarely"/>
    <x v="0"/>
    <s v="Current Employees"/>
    <x v="1"/>
    <x v="2"/>
    <x v="559"/>
    <x v="559"/>
    <x v="1"/>
    <x v="1"/>
    <x v="1"/>
    <s v="Yes"/>
    <s v="Y"/>
    <n v="0"/>
    <n v="-2"/>
    <n v="0"/>
    <x v="8"/>
    <x v="1"/>
    <m/>
    <n v="0"/>
    <n v="1"/>
    <n v="268"/>
    <n v="2"/>
    <x v="4"/>
    <n v="1"/>
    <n v="4"/>
    <n v="92"/>
    <n v="3"/>
    <n v="1"/>
    <n v="3"/>
    <n v="3057"/>
    <n v="20471"/>
    <n v="6"/>
    <n v="13"/>
    <n v="3"/>
    <n v="2"/>
    <n v="80"/>
    <n v="1"/>
    <n v="6"/>
    <n v="1"/>
    <n v="1"/>
    <n v="0"/>
    <n v="0"/>
    <n v="1"/>
  </r>
  <r>
    <s v="No"/>
    <s v="Travel_Rarely"/>
    <x v="2"/>
    <s v="Current Employees"/>
    <x v="1"/>
    <x v="0"/>
    <x v="560"/>
    <x v="560"/>
    <x v="0"/>
    <x v="3"/>
    <x v="2"/>
    <s v="No"/>
    <s v="Y"/>
    <n v="3"/>
    <n v="-2"/>
    <n v="0"/>
    <x v="13"/>
    <x v="1"/>
    <m/>
    <n v="0"/>
    <n v="1"/>
    <n v="167"/>
    <n v="8"/>
    <x v="4"/>
    <n v="1"/>
    <n v="2"/>
    <n v="32"/>
    <n v="3"/>
    <n v="2"/>
    <n v="1"/>
    <n v="5121"/>
    <n v="4187"/>
    <n v="3"/>
    <n v="14"/>
    <n v="3"/>
    <n v="3"/>
    <n v="80"/>
    <n v="1"/>
    <n v="7"/>
    <n v="3"/>
    <n v="0"/>
    <n v="0"/>
    <n v="0"/>
    <n v="0"/>
  </r>
  <r>
    <s v="No"/>
    <s v="Travel_Rarely"/>
    <x v="1"/>
    <s v="Current Employees"/>
    <x v="0"/>
    <x v="3"/>
    <x v="561"/>
    <x v="561"/>
    <x v="1"/>
    <x v="5"/>
    <x v="1"/>
    <s v="No"/>
    <s v="Y"/>
    <n v="3"/>
    <n v="-2"/>
    <n v="0"/>
    <x v="39"/>
    <x v="1"/>
    <m/>
    <n v="0"/>
    <n v="1"/>
    <n v="621"/>
    <n v="3"/>
    <x v="2"/>
    <n v="1"/>
    <n v="3"/>
    <n v="31"/>
    <n v="2"/>
    <n v="4"/>
    <n v="2"/>
    <n v="16856"/>
    <n v="10084"/>
    <n v="1"/>
    <n v="11"/>
    <n v="3"/>
    <n v="1"/>
    <n v="80"/>
    <n v="0"/>
    <n v="34"/>
    <n v="4"/>
    <n v="34"/>
    <n v="6"/>
    <n v="1"/>
    <n v="16"/>
  </r>
  <r>
    <s v="Yes"/>
    <s v="Travel_Rarely"/>
    <x v="2"/>
    <s v="Ex-Employees"/>
    <x v="1"/>
    <x v="1"/>
    <x v="562"/>
    <x v="562"/>
    <x v="1"/>
    <x v="1"/>
    <x v="0"/>
    <s v="Yes"/>
    <s v="Y"/>
    <n v="2"/>
    <n v="-2"/>
    <n v="0"/>
    <x v="3"/>
    <x v="0"/>
    <n v="1"/>
    <n v="1"/>
    <n v="0"/>
    <n v="527"/>
    <n v="1"/>
    <x v="2"/>
    <n v="1"/>
    <n v="4"/>
    <n v="63"/>
    <n v="3"/>
    <n v="1"/>
    <n v="4"/>
    <n v="2686"/>
    <n v="5207"/>
    <n v="1"/>
    <n v="13"/>
    <n v="3"/>
    <n v="3"/>
    <n v="80"/>
    <n v="0"/>
    <n v="10"/>
    <n v="2"/>
    <n v="10"/>
    <n v="9"/>
    <n v="7"/>
    <n v="8"/>
  </r>
  <r>
    <s v="No"/>
    <s v="Travel_Rarely"/>
    <x v="2"/>
    <s v="Current Employees"/>
    <x v="0"/>
    <x v="2"/>
    <x v="563"/>
    <x v="563"/>
    <x v="0"/>
    <x v="0"/>
    <x v="0"/>
    <s v="No"/>
    <s v="Y"/>
    <n v="5"/>
    <n v="-2"/>
    <n v="0"/>
    <x v="36"/>
    <x v="1"/>
    <m/>
    <n v="0"/>
    <n v="1"/>
    <n v="883"/>
    <n v="26"/>
    <x v="1"/>
    <n v="1"/>
    <n v="3"/>
    <n v="32"/>
    <n v="3"/>
    <n v="2"/>
    <n v="4"/>
    <n v="6180"/>
    <n v="22807"/>
    <n v="1"/>
    <n v="23"/>
    <n v="4"/>
    <n v="2"/>
    <n v="80"/>
    <n v="0"/>
    <n v="6"/>
    <n v="2"/>
    <n v="6"/>
    <n v="5"/>
    <n v="1"/>
    <n v="4"/>
  </r>
  <r>
    <s v="No"/>
    <s v="Travel_Rarely"/>
    <x v="1"/>
    <s v="Current Employees"/>
    <x v="0"/>
    <x v="4"/>
    <x v="564"/>
    <x v="564"/>
    <x v="1"/>
    <x v="6"/>
    <x v="0"/>
    <s v="No"/>
    <s v="Y"/>
    <n v="3"/>
    <n v="-2"/>
    <n v="0"/>
    <x v="28"/>
    <x v="1"/>
    <m/>
    <n v="0"/>
    <n v="1"/>
    <n v="954"/>
    <n v="2"/>
    <x v="0"/>
    <n v="1"/>
    <n v="4"/>
    <n v="46"/>
    <n v="1"/>
    <n v="2"/>
    <n v="4"/>
    <n v="6632"/>
    <n v="12388"/>
    <n v="0"/>
    <n v="13"/>
    <n v="3"/>
    <n v="1"/>
    <n v="80"/>
    <n v="0"/>
    <n v="9"/>
    <n v="3"/>
    <n v="8"/>
    <n v="7"/>
    <n v="3"/>
    <n v="1"/>
  </r>
  <r>
    <s v="No"/>
    <s v="Travel_Rarely"/>
    <x v="4"/>
    <s v="Current Employees"/>
    <x v="1"/>
    <x v="2"/>
    <x v="565"/>
    <x v="565"/>
    <x v="1"/>
    <x v="1"/>
    <x v="0"/>
    <s v="No"/>
    <s v="Y"/>
    <n v="3"/>
    <n v="-2"/>
    <n v="0"/>
    <x v="30"/>
    <x v="1"/>
    <m/>
    <n v="0"/>
    <n v="1"/>
    <n v="310"/>
    <n v="10"/>
    <x v="1"/>
    <n v="1"/>
    <n v="1"/>
    <n v="79"/>
    <n v="4"/>
    <n v="1"/>
    <n v="3"/>
    <n v="3505"/>
    <n v="19630"/>
    <n v="1"/>
    <n v="18"/>
    <n v="3"/>
    <n v="4"/>
    <n v="80"/>
    <n v="0"/>
    <n v="2"/>
    <n v="3"/>
    <n v="2"/>
    <n v="2"/>
    <n v="0"/>
    <n v="2"/>
  </r>
  <r>
    <s v="Yes"/>
    <s v="Travel_Frequently"/>
    <x v="1"/>
    <s v="Ex-Employees"/>
    <x v="0"/>
    <x v="0"/>
    <x v="566"/>
    <x v="566"/>
    <x v="0"/>
    <x v="0"/>
    <x v="0"/>
    <s v="Yes"/>
    <s v="Y"/>
    <n v="2"/>
    <n v="-2"/>
    <n v="0"/>
    <x v="40"/>
    <x v="0"/>
    <n v="1"/>
    <n v="1"/>
    <n v="0"/>
    <n v="719"/>
    <n v="27"/>
    <x v="0"/>
    <n v="1"/>
    <n v="2"/>
    <n v="77"/>
    <n v="4"/>
    <n v="2"/>
    <n v="1"/>
    <n v="6397"/>
    <n v="10339"/>
    <n v="4"/>
    <n v="12"/>
    <n v="3"/>
    <n v="4"/>
    <n v="80"/>
    <n v="0"/>
    <n v="8"/>
    <n v="3"/>
    <n v="5"/>
    <n v="4"/>
    <n v="1"/>
    <n v="3"/>
  </r>
  <r>
    <s v="No"/>
    <s v="Travel_Rarely"/>
    <x v="2"/>
    <s v="Current Employees"/>
    <x v="0"/>
    <x v="1"/>
    <x v="567"/>
    <x v="567"/>
    <x v="1"/>
    <x v="0"/>
    <x v="0"/>
    <s v="No"/>
    <s v="Y"/>
    <n v="5"/>
    <n v="-2"/>
    <n v="0"/>
    <x v="13"/>
    <x v="1"/>
    <m/>
    <n v="0"/>
    <n v="1"/>
    <n v="304"/>
    <n v="2"/>
    <x v="3"/>
    <n v="1"/>
    <n v="4"/>
    <n v="60"/>
    <n v="3"/>
    <n v="2"/>
    <n v="4"/>
    <n v="6274"/>
    <n v="18686"/>
    <n v="1"/>
    <n v="22"/>
    <n v="4"/>
    <n v="3"/>
    <n v="80"/>
    <n v="0"/>
    <n v="6"/>
    <n v="3"/>
    <n v="6"/>
    <n v="5"/>
    <n v="1"/>
    <n v="4"/>
  </r>
  <r>
    <s v="Yes"/>
    <s v="Travel_Rarely"/>
    <x v="3"/>
    <s v="Ex-Employees"/>
    <x v="1"/>
    <x v="2"/>
    <x v="568"/>
    <x v="568"/>
    <x v="1"/>
    <x v="5"/>
    <x v="1"/>
    <s v="Yes"/>
    <s v="Y"/>
    <n v="2"/>
    <n v="-2"/>
    <n v="0"/>
    <x v="27"/>
    <x v="0"/>
    <n v="1"/>
    <n v="1"/>
    <n v="0"/>
    <n v="725"/>
    <n v="2"/>
    <x v="3"/>
    <n v="1"/>
    <n v="4"/>
    <n v="78"/>
    <n v="3"/>
    <n v="5"/>
    <n v="3"/>
    <n v="19859"/>
    <n v="21199"/>
    <n v="5"/>
    <n v="13"/>
    <n v="3"/>
    <n v="4"/>
    <n v="80"/>
    <n v="1"/>
    <n v="24"/>
    <n v="3"/>
    <n v="5"/>
    <n v="2"/>
    <n v="1"/>
    <n v="4"/>
  </r>
  <r>
    <s v="No"/>
    <s v="Non-Travel"/>
    <x v="0"/>
    <s v="Current Employees"/>
    <x v="0"/>
    <x v="0"/>
    <x v="569"/>
    <x v="569"/>
    <x v="1"/>
    <x v="0"/>
    <x v="0"/>
    <s v="No"/>
    <s v="Y"/>
    <n v="1"/>
    <n v="-2"/>
    <n v="0"/>
    <x v="9"/>
    <x v="1"/>
    <m/>
    <n v="0"/>
    <n v="1"/>
    <n v="1434"/>
    <n v="8"/>
    <x v="2"/>
    <n v="1"/>
    <n v="1"/>
    <n v="76"/>
    <n v="2"/>
    <n v="3"/>
    <n v="1"/>
    <n v="7587"/>
    <n v="14229"/>
    <n v="1"/>
    <n v="15"/>
    <n v="3"/>
    <n v="2"/>
    <n v="80"/>
    <n v="0"/>
    <n v="10"/>
    <n v="3"/>
    <n v="10"/>
    <n v="7"/>
    <n v="0"/>
    <n v="9"/>
  </r>
  <r>
    <s v="No"/>
    <s v="Non-Travel"/>
    <x v="1"/>
    <s v="Current Employees"/>
    <x v="1"/>
    <x v="2"/>
    <x v="570"/>
    <x v="570"/>
    <x v="1"/>
    <x v="1"/>
    <x v="1"/>
    <s v="No"/>
    <s v="Y"/>
    <n v="3"/>
    <n v="-2"/>
    <n v="0"/>
    <x v="39"/>
    <x v="1"/>
    <m/>
    <n v="0"/>
    <n v="1"/>
    <n v="715"/>
    <n v="19"/>
    <x v="2"/>
    <n v="1"/>
    <n v="4"/>
    <n v="41"/>
    <n v="3"/>
    <n v="1"/>
    <n v="4"/>
    <n v="4258"/>
    <n v="26589"/>
    <n v="0"/>
    <n v="18"/>
    <n v="3"/>
    <n v="1"/>
    <n v="80"/>
    <n v="1"/>
    <n v="5"/>
    <n v="3"/>
    <n v="4"/>
    <n v="3"/>
    <n v="1"/>
    <n v="2"/>
  </r>
  <r>
    <s v="No"/>
    <s v="Travel_Frequently"/>
    <x v="2"/>
    <s v="Current Employees"/>
    <x v="1"/>
    <x v="0"/>
    <x v="571"/>
    <x v="571"/>
    <x v="0"/>
    <x v="2"/>
    <x v="2"/>
    <s v="No"/>
    <s v="Y"/>
    <n v="2"/>
    <n v="-2"/>
    <n v="0"/>
    <x v="25"/>
    <x v="1"/>
    <m/>
    <n v="0"/>
    <n v="1"/>
    <n v="575"/>
    <n v="1"/>
    <x v="0"/>
    <n v="1"/>
    <n v="1"/>
    <n v="71"/>
    <n v="1"/>
    <n v="1"/>
    <n v="1"/>
    <n v="4364"/>
    <n v="5288"/>
    <n v="3"/>
    <n v="14"/>
    <n v="3"/>
    <n v="1"/>
    <n v="80"/>
    <n v="1"/>
    <n v="5"/>
    <n v="3"/>
    <n v="2"/>
    <n v="2"/>
    <n v="2"/>
    <n v="0"/>
  </r>
  <r>
    <s v="No"/>
    <s v="Travel_Rarely"/>
    <x v="2"/>
    <s v="Current Employees"/>
    <x v="1"/>
    <x v="2"/>
    <x v="572"/>
    <x v="572"/>
    <x v="0"/>
    <x v="4"/>
    <x v="1"/>
    <s v="No"/>
    <s v="Y"/>
    <n v="3"/>
    <n v="-2"/>
    <n v="0"/>
    <x v="11"/>
    <x v="1"/>
    <m/>
    <n v="0"/>
    <n v="1"/>
    <n v="657"/>
    <n v="27"/>
    <x v="3"/>
    <n v="1"/>
    <n v="2"/>
    <n v="66"/>
    <n v="3"/>
    <n v="2"/>
    <n v="3"/>
    <n v="4335"/>
    <n v="25549"/>
    <n v="4"/>
    <n v="12"/>
    <n v="3"/>
    <n v="1"/>
    <n v="80"/>
    <n v="1"/>
    <n v="11"/>
    <n v="2"/>
    <n v="8"/>
    <n v="7"/>
    <n v="1"/>
    <n v="1"/>
  </r>
  <r>
    <s v="Yes"/>
    <s v="Travel_Rarely"/>
    <x v="2"/>
    <s v="Ex-Employees"/>
    <x v="0"/>
    <x v="4"/>
    <x v="573"/>
    <x v="573"/>
    <x v="1"/>
    <x v="0"/>
    <x v="0"/>
    <s v="No"/>
    <s v="Y"/>
    <n v="2"/>
    <n v="-2"/>
    <n v="0"/>
    <x v="25"/>
    <x v="0"/>
    <n v="1"/>
    <n v="1"/>
    <n v="0"/>
    <n v="1146"/>
    <n v="8"/>
    <x v="3"/>
    <n v="1"/>
    <n v="4"/>
    <n v="38"/>
    <n v="2"/>
    <n v="2"/>
    <n v="4"/>
    <n v="5326"/>
    <n v="3064"/>
    <n v="6"/>
    <n v="17"/>
    <n v="3"/>
    <n v="3"/>
    <n v="80"/>
    <n v="0"/>
    <n v="6"/>
    <n v="2"/>
    <n v="4"/>
    <n v="3"/>
    <n v="1"/>
    <n v="2"/>
  </r>
  <r>
    <s v="No"/>
    <s v="Travel_Rarely"/>
    <x v="2"/>
    <s v="Current Employees"/>
    <x v="1"/>
    <x v="0"/>
    <x v="574"/>
    <x v="574"/>
    <x v="0"/>
    <x v="1"/>
    <x v="0"/>
    <s v="No"/>
    <s v="Y"/>
    <n v="2"/>
    <n v="-2"/>
    <n v="0"/>
    <x v="13"/>
    <x v="1"/>
    <m/>
    <n v="0"/>
    <n v="1"/>
    <n v="182"/>
    <n v="1"/>
    <x v="2"/>
    <n v="1"/>
    <n v="2"/>
    <n v="72"/>
    <n v="4"/>
    <n v="1"/>
    <n v="1"/>
    <n v="3280"/>
    <n v="13551"/>
    <n v="2"/>
    <n v="16"/>
    <n v="3"/>
    <n v="3"/>
    <n v="80"/>
    <n v="0"/>
    <n v="10"/>
    <n v="3"/>
    <n v="4"/>
    <n v="2"/>
    <n v="1"/>
    <n v="3"/>
  </r>
  <r>
    <s v="No"/>
    <s v="Travel_Rarely"/>
    <x v="1"/>
    <s v="Current Employees"/>
    <x v="1"/>
    <x v="2"/>
    <x v="575"/>
    <x v="575"/>
    <x v="0"/>
    <x v="3"/>
    <x v="2"/>
    <s v="Yes"/>
    <s v="Y"/>
    <n v="4"/>
    <n v="-2"/>
    <n v="0"/>
    <x v="33"/>
    <x v="1"/>
    <m/>
    <n v="0"/>
    <n v="1"/>
    <n v="376"/>
    <n v="19"/>
    <x v="2"/>
    <n v="1"/>
    <n v="4"/>
    <n v="95"/>
    <n v="3"/>
    <n v="2"/>
    <n v="3"/>
    <n v="5485"/>
    <n v="22670"/>
    <n v="9"/>
    <n v="11"/>
    <n v="3"/>
    <n v="2"/>
    <n v="80"/>
    <n v="2"/>
    <n v="9"/>
    <n v="3"/>
    <n v="5"/>
    <n v="3"/>
    <n v="1"/>
    <n v="4"/>
  </r>
  <r>
    <s v="No"/>
    <s v="Travel_Frequently"/>
    <x v="2"/>
    <s v="Current Employees"/>
    <x v="0"/>
    <x v="3"/>
    <x v="576"/>
    <x v="576"/>
    <x v="1"/>
    <x v="0"/>
    <x v="1"/>
    <s v="No"/>
    <s v="Y"/>
    <n v="3"/>
    <n v="-2"/>
    <n v="0"/>
    <x v="4"/>
    <x v="1"/>
    <m/>
    <n v="0"/>
    <n v="1"/>
    <n v="829"/>
    <n v="8"/>
    <x v="1"/>
    <n v="1"/>
    <n v="3"/>
    <n v="84"/>
    <n v="3"/>
    <n v="2"/>
    <n v="2"/>
    <n v="4342"/>
    <n v="24008"/>
    <n v="0"/>
    <n v="19"/>
    <n v="3"/>
    <n v="2"/>
    <n v="80"/>
    <n v="1"/>
    <n v="5"/>
    <n v="3"/>
    <n v="4"/>
    <n v="2"/>
    <n v="1"/>
    <n v="1"/>
  </r>
  <r>
    <s v="No"/>
    <s v="Travel_Rarely"/>
    <x v="0"/>
    <s v="Current Employees"/>
    <x v="1"/>
    <x v="0"/>
    <x v="577"/>
    <x v="577"/>
    <x v="0"/>
    <x v="1"/>
    <x v="2"/>
    <s v="Yes"/>
    <s v="Y"/>
    <n v="3"/>
    <n v="-2"/>
    <n v="0"/>
    <x v="2"/>
    <x v="1"/>
    <m/>
    <n v="0"/>
    <n v="1"/>
    <n v="571"/>
    <n v="10"/>
    <x v="1"/>
    <n v="1"/>
    <n v="4"/>
    <n v="82"/>
    <n v="3"/>
    <n v="1"/>
    <n v="1"/>
    <n v="2782"/>
    <n v="19905"/>
    <n v="0"/>
    <n v="13"/>
    <n v="3"/>
    <n v="2"/>
    <n v="80"/>
    <n v="2"/>
    <n v="6"/>
    <n v="2"/>
    <n v="5"/>
    <n v="3"/>
    <n v="4"/>
    <n v="3"/>
  </r>
  <r>
    <s v="No"/>
    <s v="Travel_Frequently"/>
    <x v="0"/>
    <s v="Current Employees"/>
    <x v="1"/>
    <x v="0"/>
    <x v="578"/>
    <x v="578"/>
    <x v="0"/>
    <x v="3"/>
    <x v="0"/>
    <s v="Yes"/>
    <s v="Y"/>
    <n v="2"/>
    <n v="-2"/>
    <n v="0"/>
    <x v="8"/>
    <x v="1"/>
    <m/>
    <n v="0"/>
    <n v="1"/>
    <n v="240"/>
    <n v="2"/>
    <x v="2"/>
    <n v="1"/>
    <n v="1"/>
    <n v="75"/>
    <n v="4"/>
    <n v="2"/>
    <n v="1"/>
    <n v="5980"/>
    <n v="26085"/>
    <n v="6"/>
    <n v="12"/>
    <n v="3"/>
    <n v="4"/>
    <n v="80"/>
    <n v="0"/>
    <n v="17"/>
    <n v="3"/>
    <n v="15"/>
    <n v="7"/>
    <n v="4"/>
    <n v="12"/>
  </r>
  <r>
    <s v="No"/>
    <s v="Travel_Rarely"/>
    <x v="2"/>
    <s v="Current Employees"/>
    <x v="1"/>
    <x v="2"/>
    <x v="579"/>
    <x v="579"/>
    <x v="0"/>
    <x v="1"/>
    <x v="0"/>
    <s v="No"/>
    <s v="Y"/>
    <n v="3"/>
    <n v="-2"/>
    <n v="0"/>
    <x v="13"/>
    <x v="1"/>
    <m/>
    <n v="0"/>
    <n v="1"/>
    <n v="121"/>
    <n v="2"/>
    <x v="2"/>
    <n v="1"/>
    <n v="3"/>
    <n v="86"/>
    <n v="2"/>
    <n v="1"/>
    <n v="3"/>
    <n v="4381"/>
    <n v="7530"/>
    <n v="1"/>
    <n v="11"/>
    <n v="3"/>
    <n v="3"/>
    <n v="80"/>
    <n v="0"/>
    <n v="6"/>
    <n v="3"/>
    <n v="6"/>
    <n v="5"/>
    <n v="1"/>
    <n v="3"/>
  </r>
  <r>
    <s v="No"/>
    <s v="Travel_Rarely"/>
    <x v="0"/>
    <s v="Current Employees"/>
    <x v="0"/>
    <x v="0"/>
    <x v="580"/>
    <x v="580"/>
    <x v="0"/>
    <x v="6"/>
    <x v="1"/>
    <s v="No"/>
    <s v="Y"/>
    <n v="1"/>
    <n v="-2"/>
    <n v="0"/>
    <x v="10"/>
    <x v="1"/>
    <m/>
    <n v="0"/>
    <n v="1"/>
    <n v="384"/>
    <n v="8"/>
    <x v="2"/>
    <n v="1"/>
    <n v="1"/>
    <n v="72"/>
    <n v="3"/>
    <n v="1"/>
    <n v="1"/>
    <n v="2572"/>
    <n v="20317"/>
    <n v="1"/>
    <n v="16"/>
    <n v="3"/>
    <n v="2"/>
    <n v="80"/>
    <n v="1"/>
    <n v="3"/>
    <n v="2"/>
    <n v="3"/>
    <n v="2"/>
    <n v="0"/>
    <n v="2"/>
  </r>
  <r>
    <s v="No"/>
    <s v="Travel_Rarely"/>
    <x v="2"/>
    <s v="Current Employees"/>
    <x v="1"/>
    <x v="0"/>
    <x v="581"/>
    <x v="581"/>
    <x v="1"/>
    <x v="2"/>
    <x v="1"/>
    <s v="No"/>
    <s v="Y"/>
    <n v="2"/>
    <n v="-2"/>
    <n v="0"/>
    <x v="7"/>
    <x v="1"/>
    <m/>
    <n v="0"/>
    <n v="1"/>
    <n v="921"/>
    <n v="1"/>
    <x v="3"/>
    <n v="1"/>
    <n v="4"/>
    <n v="38"/>
    <n v="1"/>
    <n v="1"/>
    <n v="1"/>
    <n v="3833"/>
    <n v="24375"/>
    <n v="3"/>
    <n v="21"/>
    <n v="4"/>
    <n v="3"/>
    <n v="80"/>
    <n v="2"/>
    <n v="7"/>
    <n v="3"/>
    <n v="2"/>
    <n v="2"/>
    <n v="0"/>
    <n v="2"/>
  </r>
  <r>
    <s v="No"/>
    <s v="Travel_Frequently"/>
    <x v="0"/>
    <s v="Current Employees"/>
    <x v="1"/>
    <x v="2"/>
    <x v="582"/>
    <x v="582"/>
    <x v="0"/>
    <x v="4"/>
    <x v="1"/>
    <s v="No"/>
    <s v="Y"/>
    <n v="2"/>
    <n v="-2"/>
    <n v="0"/>
    <x v="32"/>
    <x v="1"/>
    <m/>
    <n v="0"/>
    <n v="1"/>
    <n v="791"/>
    <n v="2"/>
    <x v="0"/>
    <n v="1"/>
    <n v="3"/>
    <n v="38"/>
    <n v="4"/>
    <n v="2"/>
    <n v="3"/>
    <n v="4244"/>
    <n v="9931"/>
    <n v="1"/>
    <n v="24"/>
    <n v="4"/>
    <n v="4"/>
    <n v="80"/>
    <n v="1"/>
    <n v="8"/>
    <n v="3"/>
    <n v="8"/>
    <n v="7"/>
    <n v="3"/>
    <n v="7"/>
  </r>
  <r>
    <s v="No"/>
    <s v="Travel_Rarely"/>
    <x v="2"/>
    <s v="Current Employees"/>
    <x v="0"/>
    <x v="0"/>
    <x v="583"/>
    <x v="583"/>
    <x v="0"/>
    <x v="0"/>
    <x v="1"/>
    <s v="No"/>
    <s v="Y"/>
    <n v="1"/>
    <n v="-2"/>
    <n v="0"/>
    <x v="13"/>
    <x v="1"/>
    <m/>
    <n v="0"/>
    <n v="1"/>
    <n v="1111"/>
    <n v="8"/>
    <x v="0"/>
    <n v="1"/>
    <n v="3"/>
    <n v="93"/>
    <n v="3"/>
    <n v="2"/>
    <n v="1"/>
    <n v="6500"/>
    <n v="13305"/>
    <n v="5"/>
    <n v="17"/>
    <n v="3"/>
    <n v="2"/>
    <n v="80"/>
    <n v="1"/>
    <n v="6"/>
    <n v="3"/>
    <n v="3"/>
    <n v="2"/>
    <n v="1"/>
    <n v="2"/>
  </r>
  <r>
    <s v="No"/>
    <s v="Travel_Frequently"/>
    <x v="0"/>
    <s v="Current Employees"/>
    <x v="1"/>
    <x v="0"/>
    <x v="584"/>
    <x v="584"/>
    <x v="1"/>
    <x v="5"/>
    <x v="2"/>
    <s v="No"/>
    <s v="Y"/>
    <n v="4"/>
    <n v="-2"/>
    <n v="0"/>
    <x v="19"/>
    <x v="1"/>
    <m/>
    <n v="0"/>
    <n v="1"/>
    <n v="570"/>
    <n v="8"/>
    <x v="3"/>
    <n v="1"/>
    <n v="2"/>
    <n v="66"/>
    <n v="3"/>
    <n v="5"/>
    <n v="1"/>
    <n v="18430"/>
    <n v="16225"/>
    <n v="1"/>
    <n v="13"/>
    <n v="3"/>
    <n v="2"/>
    <n v="80"/>
    <n v="1"/>
    <n v="24"/>
    <n v="2"/>
    <n v="24"/>
    <n v="7"/>
    <n v="14"/>
    <n v="9"/>
  </r>
  <r>
    <s v="Yes"/>
    <s v="Travel_Rarely"/>
    <x v="4"/>
    <s v="Ex-Employees"/>
    <x v="1"/>
    <x v="0"/>
    <x v="585"/>
    <x v="585"/>
    <x v="1"/>
    <x v="2"/>
    <x v="1"/>
    <s v="Yes"/>
    <s v="Y"/>
    <n v="2"/>
    <n v="-2"/>
    <n v="0"/>
    <x v="30"/>
    <x v="0"/>
    <n v="1"/>
    <n v="1"/>
    <n v="0"/>
    <n v="1243"/>
    <n v="6"/>
    <x v="3"/>
    <n v="1"/>
    <n v="3"/>
    <n v="63"/>
    <n v="4"/>
    <n v="1"/>
    <n v="1"/>
    <n v="1601"/>
    <n v="3445"/>
    <n v="1"/>
    <n v="21"/>
    <n v="4"/>
    <n v="3"/>
    <n v="80"/>
    <n v="2"/>
    <n v="1"/>
    <n v="3"/>
    <n v="0"/>
    <n v="0"/>
    <n v="0"/>
    <n v="0"/>
  </r>
  <r>
    <s v="No"/>
    <s v="Non-Travel"/>
    <x v="4"/>
    <s v="Current Employees"/>
    <x v="1"/>
    <x v="0"/>
    <x v="586"/>
    <x v="586"/>
    <x v="1"/>
    <x v="2"/>
    <x v="2"/>
    <s v="No"/>
    <s v="Y"/>
    <n v="4"/>
    <n v="-2"/>
    <n v="0"/>
    <x v="17"/>
    <x v="1"/>
    <m/>
    <n v="0"/>
    <n v="1"/>
    <n v="1092"/>
    <n v="9"/>
    <x v="3"/>
    <n v="1"/>
    <n v="3"/>
    <n v="60"/>
    <n v="2"/>
    <n v="1"/>
    <n v="1"/>
    <n v="2694"/>
    <n v="26551"/>
    <n v="1"/>
    <n v="11"/>
    <n v="3"/>
    <n v="3"/>
    <n v="80"/>
    <n v="3"/>
    <n v="1"/>
    <n v="3"/>
    <n v="1"/>
    <n v="0"/>
    <n v="0"/>
    <n v="0"/>
  </r>
  <r>
    <s v="No"/>
    <s v="Travel_Rarely"/>
    <x v="1"/>
    <s v="Current Employees"/>
    <x v="1"/>
    <x v="0"/>
    <x v="587"/>
    <x v="587"/>
    <x v="0"/>
    <x v="2"/>
    <x v="1"/>
    <s v="No"/>
    <s v="Y"/>
    <n v="3"/>
    <n v="-2"/>
    <n v="0"/>
    <x v="39"/>
    <x v="1"/>
    <m/>
    <n v="0"/>
    <n v="1"/>
    <n v="1325"/>
    <n v="11"/>
    <x v="2"/>
    <n v="1"/>
    <n v="4"/>
    <n v="82"/>
    <n v="3"/>
    <n v="2"/>
    <n v="1"/>
    <n v="3149"/>
    <n v="21821"/>
    <n v="8"/>
    <n v="20"/>
    <n v="4"/>
    <n v="2"/>
    <n v="80"/>
    <n v="1"/>
    <n v="9"/>
    <n v="3"/>
    <n v="5"/>
    <n v="2"/>
    <n v="1"/>
    <n v="4"/>
  </r>
  <r>
    <s v="No"/>
    <s v="Travel_Rarely"/>
    <x v="1"/>
    <s v="Current Employees"/>
    <x v="1"/>
    <x v="2"/>
    <x v="588"/>
    <x v="588"/>
    <x v="1"/>
    <x v="7"/>
    <x v="1"/>
    <s v="No"/>
    <s v="Y"/>
    <n v="3"/>
    <n v="-2"/>
    <n v="0"/>
    <x v="24"/>
    <x v="1"/>
    <m/>
    <n v="0"/>
    <n v="1"/>
    <n v="691"/>
    <n v="2"/>
    <x v="3"/>
    <n v="1"/>
    <n v="3"/>
    <n v="64"/>
    <n v="3"/>
    <n v="4"/>
    <n v="3"/>
    <n v="17639"/>
    <n v="6881"/>
    <n v="5"/>
    <n v="16"/>
    <n v="3"/>
    <n v="4"/>
    <n v="80"/>
    <n v="0"/>
    <n v="30"/>
    <n v="3"/>
    <n v="4"/>
    <n v="3"/>
    <n v="0"/>
    <n v="3"/>
  </r>
  <r>
    <s v="Yes"/>
    <s v="Travel_Rarely"/>
    <x v="2"/>
    <s v="Ex-Employees"/>
    <x v="1"/>
    <x v="0"/>
    <x v="589"/>
    <x v="589"/>
    <x v="0"/>
    <x v="2"/>
    <x v="1"/>
    <s v="Yes"/>
    <s v="Y"/>
    <n v="1"/>
    <n v="-2"/>
    <n v="0"/>
    <x v="11"/>
    <x v="0"/>
    <n v="1"/>
    <n v="1"/>
    <n v="0"/>
    <n v="805"/>
    <n v="1"/>
    <x v="0"/>
    <n v="1"/>
    <n v="2"/>
    <n v="36"/>
    <n v="2"/>
    <n v="1"/>
    <n v="1"/>
    <n v="2319"/>
    <n v="6689"/>
    <n v="1"/>
    <n v="11"/>
    <n v="3"/>
    <n v="4"/>
    <n v="80"/>
    <n v="1"/>
    <n v="1"/>
    <n v="3"/>
    <n v="1"/>
    <n v="0"/>
    <n v="0"/>
    <n v="0"/>
  </r>
  <r>
    <s v="No"/>
    <s v="Travel_Rarely"/>
    <x v="2"/>
    <s v="Current Employees"/>
    <x v="1"/>
    <x v="2"/>
    <x v="590"/>
    <x v="590"/>
    <x v="1"/>
    <x v="7"/>
    <x v="1"/>
    <s v="No"/>
    <s v="Y"/>
    <n v="3"/>
    <n v="-2"/>
    <n v="0"/>
    <x v="3"/>
    <x v="1"/>
    <m/>
    <n v="0"/>
    <n v="1"/>
    <n v="213"/>
    <n v="7"/>
    <x v="3"/>
    <n v="1"/>
    <n v="3"/>
    <n v="49"/>
    <n v="3"/>
    <n v="3"/>
    <n v="3"/>
    <n v="11691"/>
    <n v="25995"/>
    <n v="0"/>
    <n v="11"/>
    <n v="3"/>
    <n v="4"/>
    <n v="80"/>
    <n v="0"/>
    <n v="14"/>
    <n v="4"/>
    <n v="13"/>
    <n v="9"/>
    <n v="3"/>
    <n v="7"/>
  </r>
  <r>
    <s v="Yes"/>
    <s v="Travel_Rarely"/>
    <x v="2"/>
    <s v="Ex-Employees"/>
    <x v="0"/>
    <x v="3"/>
    <x v="591"/>
    <x v="591"/>
    <x v="0"/>
    <x v="0"/>
    <x v="0"/>
    <s v="No"/>
    <s v="Y"/>
    <n v="3"/>
    <n v="-2"/>
    <n v="0"/>
    <x v="3"/>
    <x v="0"/>
    <n v="1"/>
    <n v="1"/>
    <n v="0"/>
    <n v="118"/>
    <n v="16"/>
    <x v="3"/>
    <n v="1"/>
    <n v="1"/>
    <n v="69"/>
    <n v="3"/>
    <n v="2"/>
    <n v="2"/>
    <n v="5324"/>
    <n v="26507"/>
    <n v="5"/>
    <n v="15"/>
    <n v="3"/>
    <n v="3"/>
    <n v="80"/>
    <n v="0"/>
    <n v="6"/>
    <n v="3"/>
    <n v="3"/>
    <n v="2"/>
    <n v="0"/>
    <n v="2"/>
  </r>
  <r>
    <s v="No"/>
    <s v="Travel_Rarely"/>
    <x v="1"/>
    <s v="Current Employees"/>
    <x v="1"/>
    <x v="1"/>
    <x v="592"/>
    <x v="592"/>
    <x v="0"/>
    <x v="5"/>
    <x v="1"/>
    <s v="Yes"/>
    <s v="Y"/>
    <n v="3"/>
    <n v="-2"/>
    <n v="0"/>
    <x v="40"/>
    <x v="1"/>
    <m/>
    <n v="0"/>
    <n v="1"/>
    <n v="202"/>
    <n v="2"/>
    <x v="0"/>
    <n v="1"/>
    <n v="3"/>
    <n v="33"/>
    <n v="3"/>
    <n v="4"/>
    <n v="4"/>
    <n v="16752"/>
    <n v="12982"/>
    <n v="1"/>
    <n v="11"/>
    <n v="3"/>
    <n v="3"/>
    <n v="80"/>
    <n v="1"/>
    <n v="26"/>
    <n v="2"/>
    <n v="26"/>
    <n v="14"/>
    <n v="3"/>
    <n v="0"/>
  </r>
  <r>
    <s v="No"/>
    <s v="Travel_Rarely"/>
    <x v="0"/>
    <s v="Current Employees"/>
    <x v="1"/>
    <x v="1"/>
    <x v="593"/>
    <x v="593"/>
    <x v="0"/>
    <x v="3"/>
    <x v="1"/>
    <s v="No"/>
    <s v="Y"/>
    <n v="2"/>
    <n v="-2"/>
    <n v="0"/>
    <x v="9"/>
    <x v="1"/>
    <m/>
    <n v="0"/>
    <n v="1"/>
    <n v="676"/>
    <n v="1"/>
    <x v="3"/>
    <n v="1"/>
    <n v="3"/>
    <n v="35"/>
    <n v="3"/>
    <n v="2"/>
    <n v="3"/>
    <n v="5228"/>
    <n v="23361"/>
    <n v="0"/>
    <n v="15"/>
    <n v="3"/>
    <n v="1"/>
    <n v="80"/>
    <n v="1"/>
    <n v="10"/>
    <n v="3"/>
    <n v="9"/>
    <n v="7"/>
    <n v="0"/>
    <n v="5"/>
  </r>
  <r>
    <s v="No"/>
    <s v="Travel_Rarely"/>
    <x v="2"/>
    <s v="Current Employees"/>
    <x v="1"/>
    <x v="0"/>
    <x v="594"/>
    <x v="594"/>
    <x v="1"/>
    <x v="1"/>
    <x v="1"/>
    <s v="No"/>
    <s v="Y"/>
    <n v="3"/>
    <n v="-2"/>
    <n v="0"/>
    <x v="11"/>
    <x v="1"/>
    <m/>
    <n v="0"/>
    <n v="1"/>
    <n v="1252"/>
    <n v="23"/>
    <x v="0"/>
    <n v="1"/>
    <n v="3"/>
    <n v="81"/>
    <n v="4"/>
    <n v="1"/>
    <n v="1"/>
    <n v="2700"/>
    <n v="23779"/>
    <n v="1"/>
    <n v="24"/>
    <n v="4"/>
    <n v="3"/>
    <n v="80"/>
    <n v="1"/>
    <n v="10"/>
    <n v="3"/>
    <n v="10"/>
    <n v="7"/>
    <n v="0"/>
    <n v="7"/>
  </r>
  <r>
    <s v="Yes"/>
    <s v="Travel_Rarely"/>
    <x v="3"/>
    <s v="Ex-Employees"/>
    <x v="1"/>
    <x v="0"/>
    <x v="595"/>
    <x v="595"/>
    <x v="1"/>
    <x v="7"/>
    <x v="0"/>
    <s v="Yes"/>
    <s v="Y"/>
    <n v="2"/>
    <n v="-2"/>
    <n v="0"/>
    <x v="34"/>
    <x v="0"/>
    <n v="1"/>
    <n v="1"/>
    <n v="0"/>
    <n v="286"/>
    <n v="2"/>
    <x v="2"/>
    <n v="1"/>
    <n v="4"/>
    <n v="31"/>
    <n v="3"/>
    <n v="5"/>
    <n v="1"/>
    <n v="19246"/>
    <n v="25761"/>
    <n v="7"/>
    <n v="12"/>
    <n v="3"/>
    <n v="4"/>
    <n v="80"/>
    <n v="0"/>
    <n v="40"/>
    <n v="3"/>
    <n v="31"/>
    <n v="15"/>
    <n v="13"/>
    <n v="8"/>
  </r>
  <r>
    <s v="No"/>
    <s v="Travel_Rarely"/>
    <x v="0"/>
    <s v="Current Employees"/>
    <x v="1"/>
    <x v="0"/>
    <x v="596"/>
    <x v="596"/>
    <x v="0"/>
    <x v="1"/>
    <x v="0"/>
    <s v="No"/>
    <s v="Y"/>
    <n v="0"/>
    <n v="-2"/>
    <n v="0"/>
    <x v="10"/>
    <x v="1"/>
    <m/>
    <n v="0"/>
    <n v="1"/>
    <n v="1258"/>
    <n v="1"/>
    <x v="2"/>
    <n v="1"/>
    <n v="4"/>
    <n v="40"/>
    <n v="4"/>
    <n v="1"/>
    <n v="1"/>
    <n v="2506"/>
    <n v="13301"/>
    <n v="3"/>
    <n v="13"/>
    <n v="3"/>
    <n v="3"/>
    <n v="80"/>
    <n v="0"/>
    <n v="7"/>
    <n v="3"/>
    <n v="2"/>
    <n v="2"/>
    <n v="2"/>
    <n v="2"/>
  </r>
  <r>
    <s v="No"/>
    <s v="Travel_Rarely"/>
    <x v="0"/>
    <s v="Current Employees"/>
    <x v="1"/>
    <x v="0"/>
    <x v="597"/>
    <x v="597"/>
    <x v="0"/>
    <x v="3"/>
    <x v="1"/>
    <s v="Yes"/>
    <s v="Y"/>
    <n v="4"/>
    <n v="-2"/>
    <n v="0"/>
    <x v="19"/>
    <x v="1"/>
    <m/>
    <n v="0"/>
    <n v="1"/>
    <n v="932"/>
    <n v="1"/>
    <x v="0"/>
    <n v="1"/>
    <n v="4"/>
    <n v="43"/>
    <n v="2"/>
    <n v="2"/>
    <n v="1"/>
    <n v="6062"/>
    <n v="4051"/>
    <n v="9"/>
    <n v="13"/>
    <n v="3"/>
    <n v="4"/>
    <n v="80"/>
    <n v="1"/>
    <n v="8"/>
    <n v="3"/>
    <n v="4"/>
    <n v="3"/>
    <n v="0"/>
    <n v="2"/>
  </r>
  <r>
    <s v="Yes"/>
    <s v="Travel_Rarely"/>
    <x v="2"/>
    <s v="Ex-Employees"/>
    <x v="1"/>
    <x v="2"/>
    <x v="598"/>
    <x v="598"/>
    <x v="1"/>
    <x v="1"/>
    <x v="0"/>
    <s v="No"/>
    <s v="Y"/>
    <n v="3"/>
    <n v="-2"/>
    <n v="0"/>
    <x v="14"/>
    <x v="0"/>
    <n v="1"/>
    <n v="1"/>
    <n v="0"/>
    <n v="890"/>
    <n v="2"/>
    <x v="2"/>
    <n v="1"/>
    <n v="3"/>
    <n v="46"/>
    <n v="3"/>
    <n v="1"/>
    <n v="3"/>
    <n v="4382"/>
    <n v="16374"/>
    <n v="6"/>
    <n v="17"/>
    <n v="3"/>
    <n v="4"/>
    <n v="80"/>
    <n v="0"/>
    <n v="5"/>
    <n v="2"/>
    <n v="2"/>
    <n v="2"/>
    <n v="2"/>
    <n v="1"/>
  </r>
  <r>
    <s v="No"/>
    <s v="Travel_Rarely"/>
    <x v="0"/>
    <s v="Current Employees"/>
    <x v="2"/>
    <x v="5"/>
    <x v="599"/>
    <x v="599"/>
    <x v="1"/>
    <x v="8"/>
    <x v="1"/>
    <s v="No"/>
    <s v="Y"/>
    <n v="2"/>
    <n v="-2"/>
    <n v="0"/>
    <x v="9"/>
    <x v="1"/>
    <m/>
    <n v="0"/>
    <n v="1"/>
    <n v="1041"/>
    <n v="13"/>
    <x v="3"/>
    <n v="1"/>
    <n v="3"/>
    <n v="36"/>
    <n v="3"/>
    <n v="1"/>
    <n v="3"/>
    <n v="2143"/>
    <n v="25527"/>
    <n v="4"/>
    <n v="13"/>
    <n v="3"/>
    <n v="2"/>
    <n v="80"/>
    <n v="1"/>
    <n v="8"/>
    <n v="3"/>
    <n v="5"/>
    <n v="2"/>
    <n v="0"/>
    <n v="4"/>
  </r>
  <r>
    <s v="No"/>
    <s v="Travel_Rarely"/>
    <x v="2"/>
    <s v="Current Employees"/>
    <x v="1"/>
    <x v="0"/>
    <x v="600"/>
    <x v="600"/>
    <x v="0"/>
    <x v="3"/>
    <x v="1"/>
    <s v="No"/>
    <s v="Y"/>
    <n v="3"/>
    <n v="-2"/>
    <n v="0"/>
    <x v="5"/>
    <x v="1"/>
    <m/>
    <n v="0"/>
    <n v="1"/>
    <n v="859"/>
    <n v="4"/>
    <x v="3"/>
    <n v="1"/>
    <n v="3"/>
    <n v="98"/>
    <n v="2"/>
    <n v="2"/>
    <n v="1"/>
    <n v="6162"/>
    <n v="19124"/>
    <n v="1"/>
    <n v="12"/>
    <n v="3"/>
    <n v="3"/>
    <n v="80"/>
    <n v="1"/>
    <n v="14"/>
    <n v="3"/>
    <n v="14"/>
    <n v="13"/>
    <n v="6"/>
    <n v="8"/>
  </r>
  <r>
    <s v="No"/>
    <s v="Travel_Frequently"/>
    <x v="0"/>
    <s v="Current Employees"/>
    <x v="1"/>
    <x v="2"/>
    <x v="601"/>
    <x v="601"/>
    <x v="1"/>
    <x v="2"/>
    <x v="0"/>
    <s v="No"/>
    <s v="Y"/>
    <n v="6"/>
    <n v="-2"/>
    <n v="0"/>
    <x v="32"/>
    <x v="1"/>
    <m/>
    <n v="0"/>
    <n v="1"/>
    <n v="720"/>
    <n v="16"/>
    <x v="2"/>
    <n v="1"/>
    <n v="1"/>
    <n v="51"/>
    <n v="2"/>
    <n v="2"/>
    <n v="3"/>
    <n v="5094"/>
    <n v="11983"/>
    <n v="6"/>
    <n v="14"/>
    <n v="3"/>
    <n v="4"/>
    <n v="80"/>
    <n v="0"/>
    <n v="10"/>
    <n v="3"/>
    <n v="1"/>
    <n v="0"/>
    <n v="0"/>
    <n v="0"/>
  </r>
  <r>
    <s v="No"/>
    <s v="Travel_Rarely"/>
    <x v="2"/>
    <s v="Current Employees"/>
    <x v="1"/>
    <x v="2"/>
    <x v="602"/>
    <x v="602"/>
    <x v="0"/>
    <x v="3"/>
    <x v="0"/>
    <s v="Yes"/>
    <s v="Y"/>
    <n v="4"/>
    <n v="-2"/>
    <n v="0"/>
    <x v="7"/>
    <x v="1"/>
    <m/>
    <n v="0"/>
    <n v="1"/>
    <n v="946"/>
    <n v="2"/>
    <x v="3"/>
    <n v="1"/>
    <n v="3"/>
    <n v="52"/>
    <n v="2"/>
    <n v="2"/>
    <n v="4"/>
    <n v="6877"/>
    <n v="20234"/>
    <n v="5"/>
    <n v="24"/>
    <n v="4"/>
    <n v="2"/>
    <n v="80"/>
    <n v="0"/>
    <n v="12"/>
    <n v="2"/>
    <n v="0"/>
    <n v="0"/>
    <n v="0"/>
    <n v="0"/>
  </r>
  <r>
    <s v="No"/>
    <s v="Travel_Rarely"/>
    <x v="1"/>
    <s v="Current Employees"/>
    <x v="1"/>
    <x v="0"/>
    <x v="603"/>
    <x v="603"/>
    <x v="0"/>
    <x v="1"/>
    <x v="0"/>
    <s v="No"/>
    <s v="Y"/>
    <n v="3"/>
    <n v="-2"/>
    <n v="0"/>
    <x v="28"/>
    <x v="1"/>
    <m/>
    <n v="0"/>
    <n v="1"/>
    <n v="252"/>
    <n v="2"/>
    <x v="3"/>
    <n v="1"/>
    <n v="2"/>
    <n v="95"/>
    <n v="2"/>
    <n v="1"/>
    <n v="1"/>
    <n v="2274"/>
    <n v="6153"/>
    <n v="1"/>
    <n v="14"/>
    <n v="3"/>
    <n v="4"/>
    <n v="80"/>
    <n v="0"/>
    <n v="1"/>
    <n v="3"/>
    <n v="1"/>
    <n v="0"/>
    <n v="0"/>
    <n v="0"/>
  </r>
  <r>
    <s v="No"/>
    <s v="Travel_Rarely"/>
    <x v="0"/>
    <s v="Current Employees"/>
    <x v="1"/>
    <x v="0"/>
    <x v="604"/>
    <x v="604"/>
    <x v="1"/>
    <x v="3"/>
    <x v="1"/>
    <s v="No"/>
    <s v="Y"/>
    <n v="3"/>
    <n v="-2"/>
    <n v="0"/>
    <x v="19"/>
    <x v="1"/>
    <m/>
    <n v="0"/>
    <n v="1"/>
    <n v="933"/>
    <n v="29"/>
    <x v="3"/>
    <n v="1"/>
    <n v="2"/>
    <n v="98"/>
    <n v="3"/>
    <n v="2"/>
    <n v="1"/>
    <n v="4434"/>
    <n v="11806"/>
    <n v="1"/>
    <n v="13"/>
    <n v="3"/>
    <n v="4"/>
    <n v="80"/>
    <n v="1"/>
    <n v="10"/>
    <n v="2"/>
    <n v="9"/>
    <n v="8"/>
    <n v="7"/>
    <n v="8"/>
  </r>
  <r>
    <s v="No"/>
    <s v="Travel_Frequently"/>
    <x v="0"/>
    <s v="Current Employees"/>
    <x v="1"/>
    <x v="0"/>
    <x v="605"/>
    <x v="605"/>
    <x v="1"/>
    <x v="4"/>
    <x v="2"/>
    <s v="No"/>
    <s v="Y"/>
    <n v="3"/>
    <n v="-2"/>
    <n v="0"/>
    <x v="8"/>
    <x v="1"/>
    <m/>
    <n v="0"/>
    <n v="1"/>
    <n v="471"/>
    <n v="12"/>
    <x v="3"/>
    <n v="1"/>
    <n v="1"/>
    <n v="45"/>
    <n v="2"/>
    <n v="2"/>
    <n v="1"/>
    <n v="6288"/>
    <n v="4284"/>
    <n v="2"/>
    <n v="15"/>
    <n v="3"/>
    <n v="3"/>
    <n v="80"/>
    <n v="1"/>
    <n v="13"/>
    <n v="2"/>
    <n v="4"/>
    <n v="3"/>
    <n v="1"/>
    <n v="2"/>
  </r>
  <r>
    <s v="No"/>
    <s v="Travel_Frequently"/>
    <x v="2"/>
    <s v="Current Employees"/>
    <x v="1"/>
    <x v="0"/>
    <x v="606"/>
    <x v="606"/>
    <x v="0"/>
    <x v="1"/>
    <x v="0"/>
    <s v="No"/>
    <s v="Y"/>
    <n v="3"/>
    <n v="-2"/>
    <n v="0"/>
    <x v="13"/>
    <x v="1"/>
    <m/>
    <n v="0"/>
    <n v="1"/>
    <n v="702"/>
    <n v="16"/>
    <x v="2"/>
    <n v="1"/>
    <n v="3"/>
    <n v="100"/>
    <n v="2"/>
    <n v="1"/>
    <n v="1"/>
    <n v="2553"/>
    <n v="8306"/>
    <n v="1"/>
    <n v="16"/>
    <n v="3"/>
    <n v="3"/>
    <n v="80"/>
    <n v="0"/>
    <n v="6"/>
    <n v="3"/>
    <n v="5"/>
    <n v="2"/>
    <n v="1"/>
    <n v="3"/>
  </r>
  <r>
    <s v="Yes"/>
    <s v="Travel_Rarely"/>
    <x v="1"/>
    <s v="Ex-Employees"/>
    <x v="0"/>
    <x v="3"/>
    <x v="607"/>
    <x v="607"/>
    <x v="0"/>
    <x v="0"/>
    <x v="1"/>
    <s v="No"/>
    <s v="Y"/>
    <n v="3"/>
    <n v="-2"/>
    <n v="0"/>
    <x v="1"/>
    <x v="0"/>
    <n v="1"/>
    <n v="1"/>
    <n v="0"/>
    <n v="1184"/>
    <n v="11"/>
    <x v="3"/>
    <n v="1"/>
    <n v="3"/>
    <n v="43"/>
    <n v="3"/>
    <n v="3"/>
    <n v="2"/>
    <n v="7654"/>
    <n v="5860"/>
    <n v="1"/>
    <n v="18"/>
    <n v="3"/>
    <n v="1"/>
    <n v="80"/>
    <n v="2"/>
    <n v="9"/>
    <n v="4"/>
    <n v="9"/>
    <n v="8"/>
    <n v="7"/>
    <n v="7"/>
  </r>
  <r>
    <s v="Yes"/>
    <s v="Travel_Rarely"/>
    <x v="3"/>
    <s v="Ex-Employees"/>
    <x v="0"/>
    <x v="2"/>
    <x v="608"/>
    <x v="608"/>
    <x v="1"/>
    <x v="0"/>
    <x v="0"/>
    <s v="No"/>
    <s v="Y"/>
    <n v="3"/>
    <n v="-2"/>
    <n v="0"/>
    <x v="27"/>
    <x v="0"/>
    <n v="1"/>
    <n v="1"/>
    <n v="0"/>
    <n v="436"/>
    <n v="2"/>
    <x v="1"/>
    <n v="1"/>
    <n v="3"/>
    <n v="37"/>
    <n v="3"/>
    <n v="2"/>
    <n v="4"/>
    <n v="5160"/>
    <n v="21519"/>
    <n v="4"/>
    <n v="16"/>
    <n v="3"/>
    <n v="3"/>
    <n v="80"/>
    <n v="0"/>
    <n v="12"/>
    <n v="2"/>
    <n v="9"/>
    <n v="7"/>
    <n v="7"/>
    <n v="3"/>
  </r>
  <r>
    <s v="No"/>
    <s v="Travel_Rarely"/>
    <x v="0"/>
    <s v="Current Employees"/>
    <x v="1"/>
    <x v="0"/>
    <x v="609"/>
    <x v="609"/>
    <x v="1"/>
    <x v="7"/>
    <x v="1"/>
    <s v="No"/>
    <s v="Y"/>
    <n v="3"/>
    <n v="-2"/>
    <n v="0"/>
    <x v="23"/>
    <x v="1"/>
    <m/>
    <n v="0"/>
    <n v="1"/>
    <n v="589"/>
    <n v="14"/>
    <x v="0"/>
    <n v="1"/>
    <n v="2"/>
    <n v="94"/>
    <n v="3"/>
    <n v="4"/>
    <n v="1"/>
    <n v="17159"/>
    <n v="5200"/>
    <n v="6"/>
    <n v="24"/>
    <n v="4"/>
    <n v="3"/>
    <n v="80"/>
    <n v="1"/>
    <n v="22"/>
    <n v="3"/>
    <n v="4"/>
    <n v="1"/>
    <n v="1"/>
    <n v="0"/>
  </r>
  <r>
    <s v="No"/>
    <s v="Travel_Rarely"/>
    <x v="2"/>
    <s v="Current Employees"/>
    <x v="1"/>
    <x v="4"/>
    <x v="610"/>
    <x v="610"/>
    <x v="1"/>
    <x v="7"/>
    <x v="2"/>
    <s v="Yes"/>
    <s v="Y"/>
    <n v="3"/>
    <n v="-2"/>
    <n v="0"/>
    <x v="4"/>
    <x v="1"/>
    <m/>
    <n v="0"/>
    <n v="1"/>
    <n v="269"/>
    <n v="5"/>
    <x v="1"/>
    <n v="1"/>
    <n v="4"/>
    <n v="42"/>
    <n v="2"/>
    <n v="3"/>
    <n v="4"/>
    <n v="12808"/>
    <n v="8842"/>
    <n v="1"/>
    <n v="16"/>
    <n v="3"/>
    <n v="2"/>
    <n v="80"/>
    <n v="1"/>
    <n v="9"/>
    <n v="3"/>
    <n v="9"/>
    <n v="8"/>
    <n v="0"/>
    <n v="8"/>
  </r>
  <r>
    <s v="No"/>
    <s v="Travel_Rarely"/>
    <x v="0"/>
    <s v="Current Employees"/>
    <x v="1"/>
    <x v="1"/>
    <x v="611"/>
    <x v="611"/>
    <x v="1"/>
    <x v="3"/>
    <x v="0"/>
    <s v="No"/>
    <s v="Y"/>
    <n v="3"/>
    <n v="-2"/>
    <n v="0"/>
    <x v="10"/>
    <x v="1"/>
    <m/>
    <n v="0"/>
    <n v="1"/>
    <n v="950"/>
    <n v="7"/>
    <x v="3"/>
    <n v="1"/>
    <n v="3"/>
    <n v="59"/>
    <n v="3"/>
    <n v="3"/>
    <n v="3"/>
    <n v="10221"/>
    <n v="18869"/>
    <n v="3"/>
    <n v="21"/>
    <n v="4"/>
    <n v="2"/>
    <n v="80"/>
    <n v="0"/>
    <n v="17"/>
    <n v="4"/>
    <n v="8"/>
    <n v="5"/>
    <n v="1"/>
    <n v="6"/>
  </r>
  <r>
    <s v="No"/>
    <s v="Travel_Rarely"/>
    <x v="2"/>
    <s v="Current Employees"/>
    <x v="0"/>
    <x v="3"/>
    <x v="612"/>
    <x v="612"/>
    <x v="0"/>
    <x v="0"/>
    <x v="1"/>
    <s v="Yes"/>
    <s v="Y"/>
    <n v="2"/>
    <n v="-2"/>
    <n v="0"/>
    <x v="14"/>
    <x v="1"/>
    <m/>
    <n v="0"/>
    <n v="1"/>
    <n v="760"/>
    <n v="2"/>
    <x v="2"/>
    <n v="1"/>
    <n v="2"/>
    <n v="81"/>
    <n v="3"/>
    <n v="2"/>
    <n v="2"/>
    <n v="4779"/>
    <n v="3698"/>
    <n v="1"/>
    <n v="20"/>
    <n v="4"/>
    <n v="1"/>
    <n v="80"/>
    <n v="0"/>
    <n v="8"/>
    <n v="3"/>
    <n v="8"/>
    <n v="7"/>
    <n v="7"/>
    <n v="5"/>
  </r>
  <r>
    <s v="No"/>
    <s v="Travel_Rarely"/>
    <x v="2"/>
    <s v="Current Employees"/>
    <x v="2"/>
    <x v="5"/>
    <x v="613"/>
    <x v="613"/>
    <x v="1"/>
    <x v="8"/>
    <x v="1"/>
    <s v="No"/>
    <s v="Y"/>
    <n v="1"/>
    <n v="-2"/>
    <n v="0"/>
    <x v="13"/>
    <x v="1"/>
    <m/>
    <n v="0"/>
    <n v="1"/>
    <n v="829"/>
    <n v="3"/>
    <x v="0"/>
    <n v="1"/>
    <n v="3"/>
    <n v="88"/>
    <n v="3"/>
    <n v="1"/>
    <n v="4"/>
    <n v="3737"/>
    <n v="2243"/>
    <n v="0"/>
    <n v="19"/>
    <n v="3"/>
    <n v="3"/>
    <n v="80"/>
    <n v="1"/>
    <n v="4"/>
    <n v="1"/>
    <n v="3"/>
    <n v="2"/>
    <n v="0"/>
    <n v="2"/>
  </r>
  <r>
    <s v="Yes"/>
    <s v="Travel_Frequently"/>
    <x v="2"/>
    <s v="Ex-Employees"/>
    <x v="1"/>
    <x v="2"/>
    <x v="614"/>
    <x v="614"/>
    <x v="0"/>
    <x v="1"/>
    <x v="1"/>
    <s v="Yes"/>
    <s v="Y"/>
    <n v="2"/>
    <n v="-2"/>
    <n v="0"/>
    <x v="25"/>
    <x v="0"/>
    <n v="1"/>
    <n v="1"/>
    <n v="0"/>
    <n v="887"/>
    <n v="5"/>
    <x v="0"/>
    <n v="1"/>
    <n v="3"/>
    <n v="88"/>
    <n v="2"/>
    <n v="1"/>
    <n v="3"/>
    <n v="2366"/>
    <n v="20898"/>
    <n v="1"/>
    <n v="14"/>
    <n v="3"/>
    <n v="1"/>
    <n v="80"/>
    <n v="1"/>
    <n v="8"/>
    <n v="3"/>
    <n v="8"/>
    <n v="7"/>
    <n v="1"/>
    <n v="7"/>
  </r>
  <r>
    <s v="No"/>
    <s v="Non-Travel"/>
    <x v="2"/>
    <s v="Current Employees"/>
    <x v="1"/>
    <x v="2"/>
    <x v="615"/>
    <x v="615"/>
    <x v="1"/>
    <x v="1"/>
    <x v="1"/>
    <s v="No"/>
    <s v="Y"/>
    <n v="6"/>
    <n v="-2"/>
    <n v="0"/>
    <x v="4"/>
    <x v="1"/>
    <m/>
    <n v="0"/>
    <n v="1"/>
    <n v="443"/>
    <n v="3"/>
    <x v="3"/>
    <n v="1"/>
    <n v="4"/>
    <n v="50"/>
    <n v="3"/>
    <n v="1"/>
    <n v="4"/>
    <n v="1706"/>
    <n v="16571"/>
    <n v="1"/>
    <n v="11"/>
    <n v="3"/>
    <n v="3"/>
    <n v="80"/>
    <n v="3"/>
    <n v="0"/>
    <n v="2"/>
    <n v="0"/>
    <n v="0"/>
    <n v="0"/>
    <n v="0"/>
  </r>
  <r>
    <s v="No"/>
    <s v="Travel_Rarely"/>
    <x v="1"/>
    <s v="Current Employees"/>
    <x v="0"/>
    <x v="3"/>
    <x v="616"/>
    <x v="616"/>
    <x v="0"/>
    <x v="5"/>
    <x v="1"/>
    <s v="No"/>
    <s v="Y"/>
    <n v="2"/>
    <n v="-2"/>
    <n v="0"/>
    <x v="31"/>
    <x v="1"/>
    <m/>
    <n v="0"/>
    <n v="1"/>
    <n v="1318"/>
    <n v="26"/>
    <x v="2"/>
    <n v="1"/>
    <n v="1"/>
    <n v="66"/>
    <n v="3"/>
    <n v="4"/>
    <n v="2"/>
    <n v="16307"/>
    <n v="5594"/>
    <n v="2"/>
    <n v="14"/>
    <n v="3"/>
    <n v="3"/>
    <n v="80"/>
    <n v="1"/>
    <n v="29"/>
    <n v="2"/>
    <n v="20"/>
    <n v="6"/>
    <n v="4"/>
    <n v="17"/>
  </r>
  <r>
    <s v="No"/>
    <s v="Travel_Rarely"/>
    <x v="0"/>
    <s v="Current Employees"/>
    <x v="1"/>
    <x v="2"/>
    <x v="617"/>
    <x v="617"/>
    <x v="1"/>
    <x v="4"/>
    <x v="0"/>
    <s v="No"/>
    <s v="Y"/>
    <n v="2"/>
    <n v="-2"/>
    <n v="0"/>
    <x v="20"/>
    <x v="1"/>
    <m/>
    <n v="0"/>
    <n v="1"/>
    <n v="625"/>
    <n v="4"/>
    <x v="3"/>
    <n v="1"/>
    <n v="4"/>
    <n v="50"/>
    <n v="3"/>
    <n v="2"/>
    <n v="3"/>
    <n v="5933"/>
    <n v="5197"/>
    <n v="9"/>
    <n v="12"/>
    <n v="3"/>
    <n v="4"/>
    <n v="80"/>
    <n v="0"/>
    <n v="10"/>
    <n v="2"/>
    <n v="5"/>
    <n v="2"/>
    <n v="2"/>
    <n v="3"/>
  </r>
  <r>
    <s v="No"/>
    <s v="Travel_Rarely"/>
    <x v="2"/>
    <s v="Current Employees"/>
    <x v="1"/>
    <x v="2"/>
    <x v="618"/>
    <x v="618"/>
    <x v="1"/>
    <x v="1"/>
    <x v="0"/>
    <s v="No"/>
    <s v="Y"/>
    <n v="3"/>
    <n v="-2"/>
    <n v="0"/>
    <x v="36"/>
    <x v="1"/>
    <m/>
    <n v="0"/>
    <n v="1"/>
    <n v="180"/>
    <n v="2"/>
    <x v="1"/>
    <n v="1"/>
    <n v="1"/>
    <n v="65"/>
    <n v="4"/>
    <n v="1"/>
    <n v="3"/>
    <n v="3424"/>
    <n v="21632"/>
    <n v="7"/>
    <n v="13"/>
    <n v="3"/>
    <n v="3"/>
    <n v="80"/>
    <n v="0"/>
    <n v="6"/>
    <n v="2"/>
    <n v="4"/>
    <n v="3"/>
    <n v="0"/>
    <n v="1"/>
  </r>
  <r>
    <s v="No"/>
    <s v="Travel_Rarely"/>
    <x v="2"/>
    <s v="Current Employees"/>
    <x v="0"/>
    <x v="2"/>
    <x v="619"/>
    <x v="619"/>
    <x v="1"/>
    <x v="0"/>
    <x v="2"/>
    <s v="No"/>
    <s v="Y"/>
    <n v="5"/>
    <n v="-2"/>
    <n v="0"/>
    <x v="3"/>
    <x v="1"/>
    <m/>
    <n v="0"/>
    <n v="1"/>
    <n v="586"/>
    <n v="1"/>
    <x v="3"/>
    <n v="1"/>
    <n v="1"/>
    <n v="48"/>
    <n v="4"/>
    <n v="2"/>
    <n v="3"/>
    <n v="4037"/>
    <n v="21816"/>
    <n v="1"/>
    <n v="22"/>
    <n v="4"/>
    <n v="1"/>
    <n v="80"/>
    <n v="1"/>
    <n v="9"/>
    <n v="3"/>
    <n v="9"/>
    <n v="8"/>
    <n v="0"/>
    <n v="8"/>
  </r>
  <r>
    <s v="No"/>
    <s v="Travel_Rarely"/>
    <x v="0"/>
    <s v="Current Employees"/>
    <x v="1"/>
    <x v="2"/>
    <x v="620"/>
    <x v="620"/>
    <x v="0"/>
    <x v="1"/>
    <x v="0"/>
    <s v="No"/>
    <s v="Y"/>
    <n v="3"/>
    <n v="-2"/>
    <n v="0"/>
    <x v="10"/>
    <x v="1"/>
    <m/>
    <n v="0"/>
    <n v="1"/>
    <n v="1343"/>
    <n v="27"/>
    <x v="1"/>
    <n v="1"/>
    <n v="3"/>
    <n v="53"/>
    <n v="2"/>
    <n v="1"/>
    <n v="3"/>
    <n v="2559"/>
    <n v="17852"/>
    <n v="1"/>
    <n v="11"/>
    <n v="3"/>
    <n v="4"/>
    <n v="80"/>
    <n v="0"/>
    <n v="6"/>
    <n v="2"/>
    <n v="6"/>
    <n v="5"/>
    <n v="1"/>
    <n v="1"/>
  </r>
  <r>
    <s v="No"/>
    <s v="Travel_Rarely"/>
    <x v="0"/>
    <s v="Current Employees"/>
    <x v="0"/>
    <x v="0"/>
    <x v="621"/>
    <x v="621"/>
    <x v="1"/>
    <x v="0"/>
    <x v="1"/>
    <s v="Yes"/>
    <s v="Y"/>
    <n v="1"/>
    <n v="-2"/>
    <n v="0"/>
    <x v="9"/>
    <x v="1"/>
    <m/>
    <n v="0"/>
    <n v="1"/>
    <n v="928"/>
    <n v="1"/>
    <x v="0"/>
    <n v="1"/>
    <n v="2"/>
    <n v="56"/>
    <n v="3"/>
    <n v="2"/>
    <n v="1"/>
    <n v="6201"/>
    <n v="2823"/>
    <n v="1"/>
    <n v="14"/>
    <n v="3"/>
    <n v="4"/>
    <n v="80"/>
    <n v="1"/>
    <n v="18"/>
    <n v="2"/>
    <n v="18"/>
    <n v="14"/>
    <n v="4"/>
    <n v="11"/>
  </r>
  <r>
    <s v="No"/>
    <s v="Travel_Rarely"/>
    <x v="2"/>
    <s v="Current Employees"/>
    <x v="0"/>
    <x v="0"/>
    <x v="622"/>
    <x v="622"/>
    <x v="1"/>
    <x v="0"/>
    <x v="2"/>
    <s v="No"/>
    <s v="Y"/>
    <n v="3"/>
    <n v="-2"/>
    <n v="0"/>
    <x v="5"/>
    <x v="1"/>
    <m/>
    <n v="0"/>
    <n v="1"/>
    <n v="117"/>
    <n v="13"/>
    <x v="2"/>
    <n v="1"/>
    <n v="2"/>
    <n v="73"/>
    <n v="3"/>
    <n v="2"/>
    <n v="1"/>
    <n v="4403"/>
    <n v="9250"/>
    <n v="2"/>
    <n v="11"/>
    <n v="3"/>
    <n v="3"/>
    <n v="80"/>
    <n v="1"/>
    <n v="8"/>
    <n v="2"/>
    <n v="5"/>
    <n v="2"/>
    <n v="0"/>
    <n v="3"/>
  </r>
  <r>
    <s v="No"/>
    <s v="Travel_Frequently"/>
    <x v="2"/>
    <s v="Current Employees"/>
    <x v="1"/>
    <x v="0"/>
    <x v="623"/>
    <x v="623"/>
    <x v="1"/>
    <x v="1"/>
    <x v="2"/>
    <s v="No"/>
    <s v="Y"/>
    <n v="3"/>
    <n v="-2"/>
    <n v="0"/>
    <x v="7"/>
    <x v="1"/>
    <m/>
    <n v="0"/>
    <n v="1"/>
    <n v="1012"/>
    <n v="5"/>
    <x v="2"/>
    <n v="1"/>
    <n v="2"/>
    <n v="75"/>
    <n v="2"/>
    <n v="1"/>
    <n v="1"/>
    <n v="3761"/>
    <n v="2373"/>
    <n v="9"/>
    <n v="12"/>
    <n v="3"/>
    <n v="2"/>
    <n v="80"/>
    <n v="1"/>
    <n v="10"/>
    <n v="2"/>
    <n v="5"/>
    <n v="4"/>
    <n v="0"/>
    <n v="3"/>
  </r>
  <r>
    <s v="No"/>
    <s v="Travel_Rarely"/>
    <x v="1"/>
    <s v="Current Employees"/>
    <x v="0"/>
    <x v="3"/>
    <x v="624"/>
    <x v="624"/>
    <x v="0"/>
    <x v="0"/>
    <x v="1"/>
    <s v="Yes"/>
    <s v="Y"/>
    <n v="3"/>
    <n v="-2"/>
    <n v="0"/>
    <x v="16"/>
    <x v="1"/>
    <m/>
    <n v="0"/>
    <n v="1"/>
    <n v="661"/>
    <n v="7"/>
    <x v="0"/>
    <n v="1"/>
    <n v="1"/>
    <n v="78"/>
    <n v="2"/>
    <n v="3"/>
    <n v="2"/>
    <n v="10934"/>
    <n v="20715"/>
    <n v="7"/>
    <n v="18"/>
    <n v="3"/>
    <n v="4"/>
    <n v="80"/>
    <n v="1"/>
    <n v="35"/>
    <n v="3"/>
    <n v="5"/>
    <n v="2"/>
    <n v="0"/>
    <n v="4"/>
  </r>
  <r>
    <s v="No"/>
    <s v="Travel_Rarely"/>
    <x v="1"/>
    <s v="Current Employees"/>
    <x v="0"/>
    <x v="3"/>
    <x v="625"/>
    <x v="625"/>
    <x v="1"/>
    <x v="0"/>
    <x v="2"/>
    <s v="Yes"/>
    <s v="Y"/>
    <n v="2"/>
    <n v="-2"/>
    <n v="0"/>
    <x v="28"/>
    <x v="1"/>
    <m/>
    <n v="0"/>
    <n v="1"/>
    <n v="930"/>
    <n v="9"/>
    <x v="3"/>
    <n v="1"/>
    <n v="4"/>
    <n v="74"/>
    <n v="3"/>
    <n v="3"/>
    <n v="2"/>
    <n v="10761"/>
    <n v="19239"/>
    <n v="4"/>
    <n v="12"/>
    <n v="3"/>
    <n v="3"/>
    <n v="80"/>
    <n v="1"/>
    <n v="18"/>
    <n v="3"/>
    <n v="5"/>
    <n v="4"/>
    <n v="0"/>
    <n v="2"/>
  </r>
  <r>
    <s v="No"/>
    <s v="Travel_Rarely"/>
    <x v="2"/>
    <s v="Current Employees"/>
    <x v="1"/>
    <x v="2"/>
    <x v="626"/>
    <x v="626"/>
    <x v="0"/>
    <x v="1"/>
    <x v="1"/>
    <s v="No"/>
    <s v="Y"/>
    <n v="3"/>
    <n v="-2"/>
    <n v="0"/>
    <x v="5"/>
    <x v="1"/>
    <m/>
    <n v="0"/>
    <n v="1"/>
    <n v="638"/>
    <n v="8"/>
    <x v="0"/>
    <n v="1"/>
    <n v="3"/>
    <n v="91"/>
    <n v="4"/>
    <n v="2"/>
    <n v="3"/>
    <n v="5175"/>
    <n v="22162"/>
    <n v="5"/>
    <n v="12"/>
    <n v="3"/>
    <n v="3"/>
    <n v="80"/>
    <n v="1"/>
    <n v="9"/>
    <n v="2"/>
    <n v="5"/>
    <n v="3"/>
    <n v="1"/>
    <n v="3"/>
  </r>
  <r>
    <s v="No"/>
    <s v="Travel_Frequently"/>
    <x v="1"/>
    <s v="Current Employees"/>
    <x v="1"/>
    <x v="2"/>
    <x v="627"/>
    <x v="627"/>
    <x v="0"/>
    <x v="3"/>
    <x v="1"/>
    <s v="No"/>
    <s v="Y"/>
    <n v="3"/>
    <n v="-2"/>
    <n v="0"/>
    <x v="39"/>
    <x v="1"/>
    <m/>
    <n v="0"/>
    <n v="1"/>
    <n v="890"/>
    <n v="25"/>
    <x v="2"/>
    <n v="1"/>
    <n v="3"/>
    <n v="81"/>
    <n v="2"/>
    <n v="4"/>
    <n v="4"/>
    <n v="13826"/>
    <n v="19028"/>
    <n v="3"/>
    <n v="22"/>
    <n v="4"/>
    <n v="3"/>
    <n v="80"/>
    <n v="0"/>
    <n v="31"/>
    <n v="3"/>
    <n v="9"/>
    <n v="8"/>
    <n v="0"/>
    <n v="0"/>
  </r>
  <r>
    <s v="No"/>
    <s v="Travel_Rarely"/>
    <x v="0"/>
    <s v="Current Employees"/>
    <x v="0"/>
    <x v="3"/>
    <x v="628"/>
    <x v="628"/>
    <x v="1"/>
    <x v="0"/>
    <x v="2"/>
    <s v="No"/>
    <s v="Y"/>
    <n v="2"/>
    <n v="-2"/>
    <n v="0"/>
    <x v="2"/>
    <x v="1"/>
    <m/>
    <n v="0"/>
    <n v="1"/>
    <n v="342"/>
    <n v="16"/>
    <x v="2"/>
    <n v="1"/>
    <n v="4"/>
    <n v="66"/>
    <n v="2"/>
    <n v="2"/>
    <n v="2"/>
    <n v="6334"/>
    <n v="24558"/>
    <n v="4"/>
    <n v="19"/>
    <n v="3"/>
    <n v="4"/>
    <n v="80"/>
    <n v="2"/>
    <n v="9"/>
    <n v="3"/>
    <n v="1"/>
    <n v="0"/>
    <n v="0"/>
    <n v="0"/>
  </r>
  <r>
    <s v="No"/>
    <s v="Travel_Rarely"/>
    <x v="2"/>
    <s v="Current Employees"/>
    <x v="2"/>
    <x v="2"/>
    <x v="629"/>
    <x v="629"/>
    <x v="1"/>
    <x v="8"/>
    <x v="2"/>
    <s v="No"/>
    <s v="Y"/>
    <n v="6"/>
    <n v="-2"/>
    <n v="0"/>
    <x v="14"/>
    <x v="1"/>
    <m/>
    <n v="0"/>
    <n v="1"/>
    <n v="1169"/>
    <n v="8"/>
    <x v="0"/>
    <n v="1"/>
    <n v="2"/>
    <n v="63"/>
    <n v="2"/>
    <n v="1"/>
    <n v="4"/>
    <n v="4936"/>
    <n v="23965"/>
    <n v="1"/>
    <n v="13"/>
    <n v="3"/>
    <n v="4"/>
    <n v="80"/>
    <n v="1"/>
    <n v="6"/>
    <n v="3"/>
    <n v="5"/>
    <n v="1"/>
    <n v="0"/>
    <n v="4"/>
  </r>
  <r>
    <s v="No"/>
    <s v="Travel_Rarely"/>
    <x v="4"/>
    <s v="Current Employees"/>
    <x v="1"/>
    <x v="0"/>
    <x v="630"/>
    <x v="630"/>
    <x v="1"/>
    <x v="3"/>
    <x v="1"/>
    <s v="No"/>
    <s v="Y"/>
    <n v="2"/>
    <n v="-2"/>
    <n v="0"/>
    <x v="15"/>
    <x v="1"/>
    <m/>
    <n v="0"/>
    <n v="1"/>
    <n v="1230"/>
    <n v="1"/>
    <x v="0"/>
    <n v="1"/>
    <n v="4"/>
    <n v="33"/>
    <n v="2"/>
    <n v="2"/>
    <n v="1"/>
    <n v="4775"/>
    <n v="19146"/>
    <n v="6"/>
    <n v="22"/>
    <n v="4"/>
    <n v="1"/>
    <n v="80"/>
    <n v="2"/>
    <n v="4"/>
    <n v="1"/>
    <n v="2"/>
    <n v="2"/>
    <n v="2"/>
    <n v="2"/>
  </r>
  <r>
    <s v="No"/>
    <s v="Travel_Rarely"/>
    <x v="0"/>
    <s v="Current Employees"/>
    <x v="1"/>
    <x v="0"/>
    <x v="631"/>
    <x v="631"/>
    <x v="1"/>
    <x v="2"/>
    <x v="1"/>
    <s v="Yes"/>
    <s v="Y"/>
    <n v="2"/>
    <n v="-2"/>
    <n v="0"/>
    <x v="20"/>
    <x v="1"/>
    <m/>
    <n v="0"/>
    <n v="1"/>
    <n v="986"/>
    <n v="8"/>
    <x v="2"/>
    <n v="1"/>
    <n v="1"/>
    <n v="62"/>
    <n v="4"/>
    <n v="1"/>
    <n v="1"/>
    <n v="2818"/>
    <n v="5044"/>
    <n v="2"/>
    <n v="24"/>
    <n v="4"/>
    <n v="3"/>
    <n v="80"/>
    <n v="1"/>
    <n v="10"/>
    <n v="2"/>
    <n v="3"/>
    <n v="2"/>
    <n v="0"/>
    <n v="2"/>
  </r>
  <r>
    <s v="No"/>
    <s v="Travel_Frequently"/>
    <x v="0"/>
    <s v="Current Employees"/>
    <x v="1"/>
    <x v="2"/>
    <x v="632"/>
    <x v="632"/>
    <x v="1"/>
    <x v="1"/>
    <x v="0"/>
    <s v="Yes"/>
    <s v="Y"/>
    <n v="2"/>
    <n v="-2"/>
    <n v="0"/>
    <x v="19"/>
    <x v="1"/>
    <m/>
    <n v="0"/>
    <n v="1"/>
    <n v="1271"/>
    <n v="2"/>
    <x v="1"/>
    <n v="1"/>
    <n v="2"/>
    <n v="35"/>
    <n v="3"/>
    <n v="1"/>
    <n v="4"/>
    <n v="2515"/>
    <n v="9068"/>
    <n v="5"/>
    <n v="14"/>
    <n v="3"/>
    <n v="4"/>
    <n v="80"/>
    <n v="0"/>
    <n v="8"/>
    <n v="3"/>
    <n v="2"/>
    <n v="1"/>
    <n v="2"/>
    <n v="2"/>
  </r>
  <r>
    <s v="No"/>
    <s v="Travel_Rarely"/>
    <x v="0"/>
    <s v="Current Employees"/>
    <x v="2"/>
    <x v="0"/>
    <x v="633"/>
    <x v="633"/>
    <x v="1"/>
    <x v="8"/>
    <x v="1"/>
    <s v="No"/>
    <s v="Y"/>
    <n v="3"/>
    <n v="-2"/>
    <n v="0"/>
    <x v="9"/>
    <x v="1"/>
    <m/>
    <n v="0"/>
    <n v="1"/>
    <n v="1278"/>
    <n v="8"/>
    <x v="3"/>
    <n v="1"/>
    <n v="1"/>
    <n v="77"/>
    <n v="2"/>
    <n v="1"/>
    <n v="1"/>
    <n v="2342"/>
    <n v="8635"/>
    <n v="0"/>
    <n v="21"/>
    <n v="4"/>
    <n v="3"/>
    <n v="80"/>
    <n v="0"/>
    <n v="6"/>
    <n v="3"/>
    <n v="5"/>
    <n v="4"/>
    <n v="0"/>
    <n v="3"/>
  </r>
  <r>
    <s v="No"/>
    <s v="Travel_Rarely"/>
    <x v="2"/>
    <s v="Current Employees"/>
    <x v="0"/>
    <x v="1"/>
    <x v="634"/>
    <x v="634"/>
    <x v="1"/>
    <x v="0"/>
    <x v="1"/>
    <s v="Yes"/>
    <s v="Y"/>
    <n v="3"/>
    <n v="-2"/>
    <n v="0"/>
    <x v="36"/>
    <x v="1"/>
    <m/>
    <n v="0"/>
    <n v="1"/>
    <n v="141"/>
    <n v="3"/>
    <x v="1"/>
    <n v="1"/>
    <n v="3"/>
    <n v="98"/>
    <n v="3"/>
    <n v="2"/>
    <n v="3"/>
    <n v="4194"/>
    <n v="14363"/>
    <n v="1"/>
    <n v="18"/>
    <n v="3"/>
    <n v="4"/>
    <n v="80"/>
    <n v="0"/>
    <n v="5"/>
    <n v="3"/>
    <n v="5"/>
    <n v="3"/>
    <n v="0"/>
    <n v="3"/>
  </r>
  <r>
    <s v="No"/>
    <s v="Travel_Rarely"/>
    <x v="0"/>
    <s v="Current Employees"/>
    <x v="1"/>
    <x v="0"/>
    <x v="635"/>
    <x v="635"/>
    <x v="0"/>
    <x v="3"/>
    <x v="1"/>
    <s v="Yes"/>
    <s v="Y"/>
    <n v="2"/>
    <n v="-2"/>
    <n v="0"/>
    <x v="10"/>
    <x v="1"/>
    <m/>
    <n v="0"/>
    <n v="1"/>
    <n v="607"/>
    <n v="9"/>
    <x v="3"/>
    <n v="1"/>
    <n v="4"/>
    <n v="66"/>
    <n v="2"/>
    <n v="3"/>
    <n v="1"/>
    <n v="10685"/>
    <n v="23457"/>
    <n v="1"/>
    <n v="20"/>
    <n v="4"/>
    <n v="2"/>
    <n v="80"/>
    <n v="1"/>
    <n v="17"/>
    <n v="3"/>
    <n v="17"/>
    <n v="14"/>
    <n v="5"/>
    <n v="15"/>
  </r>
  <r>
    <s v="Yes"/>
    <s v="Travel_Frequently"/>
    <x v="0"/>
    <s v="Ex-Employees"/>
    <x v="1"/>
    <x v="0"/>
    <x v="636"/>
    <x v="636"/>
    <x v="0"/>
    <x v="1"/>
    <x v="2"/>
    <s v="Yes"/>
    <s v="Y"/>
    <n v="3"/>
    <n v="-2"/>
    <n v="0"/>
    <x v="10"/>
    <x v="0"/>
    <n v="1"/>
    <n v="1"/>
    <n v="0"/>
    <n v="130"/>
    <n v="25"/>
    <x v="2"/>
    <n v="1"/>
    <n v="4"/>
    <n v="96"/>
    <n v="3"/>
    <n v="1"/>
    <n v="1"/>
    <n v="2022"/>
    <n v="16612"/>
    <n v="1"/>
    <n v="19"/>
    <n v="3"/>
    <n v="1"/>
    <n v="80"/>
    <n v="1"/>
    <n v="10"/>
    <n v="2"/>
    <n v="10"/>
    <n v="2"/>
    <n v="7"/>
    <n v="8"/>
  </r>
  <r>
    <s v="No"/>
    <s v="Non-Travel"/>
    <x v="2"/>
    <s v="Current Employees"/>
    <x v="1"/>
    <x v="0"/>
    <x v="637"/>
    <x v="637"/>
    <x v="1"/>
    <x v="2"/>
    <x v="2"/>
    <s v="No"/>
    <s v="Y"/>
    <n v="2"/>
    <n v="-2"/>
    <n v="0"/>
    <x v="5"/>
    <x v="1"/>
    <m/>
    <n v="0"/>
    <n v="1"/>
    <n v="300"/>
    <n v="1"/>
    <x v="3"/>
    <n v="1"/>
    <n v="4"/>
    <n v="61"/>
    <n v="3"/>
    <n v="1"/>
    <n v="1"/>
    <n v="2314"/>
    <n v="9148"/>
    <n v="0"/>
    <n v="12"/>
    <n v="3"/>
    <n v="2"/>
    <n v="80"/>
    <n v="1"/>
    <n v="4"/>
    <n v="3"/>
    <n v="3"/>
    <n v="0"/>
    <n v="0"/>
    <n v="2"/>
  </r>
  <r>
    <s v="No"/>
    <s v="Travel_Rarely"/>
    <x v="2"/>
    <s v="Current Employees"/>
    <x v="0"/>
    <x v="3"/>
    <x v="638"/>
    <x v="638"/>
    <x v="1"/>
    <x v="0"/>
    <x v="1"/>
    <s v="No"/>
    <s v="Y"/>
    <n v="1"/>
    <n v="-2"/>
    <n v="0"/>
    <x v="36"/>
    <x v="1"/>
    <m/>
    <n v="0"/>
    <n v="1"/>
    <n v="583"/>
    <n v="4"/>
    <x v="1"/>
    <n v="1"/>
    <n v="3"/>
    <n v="87"/>
    <n v="2"/>
    <n v="2"/>
    <n v="2"/>
    <n v="4256"/>
    <n v="18154"/>
    <n v="1"/>
    <n v="12"/>
    <n v="3"/>
    <n v="1"/>
    <n v="80"/>
    <n v="0"/>
    <n v="5"/>
    <n v="4"/>
    <n v="5"/>
    <n v="2"/>
    <n v="0"/>
    <n v="3"/>
  </r>
  <r>
    <s v="No"/>
    <s v="Travel_Rarely"/>
    <x v="1"/>
    <s v="Current Employees"/>
    <x v="1"/>
    <x v="4"/>
    <x v="639"/>
    <x v="639"/>
    <x v="0"/>
    <x v="1"/>
    <x v="1"/>
    <s v="No"/>
    <s v="Y"/>
    <n v="2"/>
    <n v="-2"/>
    <n v="0"/>
    <x v="1"/>
    <x v="1"/>
    <m/>
    <n v="0"/>
    <n v="1"/>
    <n v="1418"/>
    <n v="1"/>
    <x v="3"/>
    <n v="1"/>
    <n v="4"/>
    <n v="36"/>
    <n v="3"/>
    <n v="1"/>
    <n v="4"/>
    <n v="3580"/>
    <n v="10554"/>
    <n v="2"/>
    <n v="16"/>
    <n v="3"/>
    <n v="2"/>
    <n v="80"/>
    <n v="1"/>
    <n v="7"/>
    <n v="3"/>
    <n v="4"/>
    <n v="2"/>
    <n v="0"/>
    <n v="2"/>
  </r>
  <r>
    <s v="No"/>
    <s v="Non-Travel"/>
    <x v="4"/>
    <s v="Current Employees"/>
    <x v="1"/>
    <x v="0"/>
    <x v="640"/>
    <x v="640"/>
    <x v="1"/>
    <x v="2"/>
    <x v="1"/>
    <s v="No"/>
    <s v="Y"/>
    <n v="2"/>
    <n v="-2"/>
    <n v="0"/>
    <x v="17"/>
    <x v="1"/>
    <m/>
    <n v="0"/>
    <n v="1"/>
    <n v="1269"/>
    <n v="4"/>
    <x v="1"/>
    <n v="1"/>
    <n v="1"/>
    <n v="46"/>
    <n v="2"/>
    <n v="1"/>
    <n v="1"/>
    <n v="3162"/>
    <n v="10778"/>
    <n v="0"/>
    <n v="17"/>
    <n v="3"/>
    <n v="4"/>
    <n v="80"/>
    <n v="0"/>
    <n v="6"/>
    <n v="2"/>
    <n v="5"/>
    <n v="2"/>
    <n v="3"/>
    <n v="4"/>
  </r>
  <r>
    <s v="No"/>
    <s v="Travel_Frequently"/>
    <x v="2"/>
    <s v="Current Employees"/>
    <x v="0"/>
    <x v="0"/>
    <x v="641"/>
    <x v="641"/>
    <x v="1"/>
    <x v="0"/>
    <x v="1"/>
    <s v="No"/>
    <s v="Y"/>
    <n v="3"/>
    <n v="-2"/>
    <n v="0"/>
    <x v="5"/>
    <x v="1"/>
    <m/>
    <n v="0"/>
    <n v="1"/>
    <n v="379"/>
    <n v="5"/>
    <x v="0"/>
    <n v="1"/>
    <n v="2"/>
    <n v="48"/>
    <n v="3"/>
    <n v="2"/>
    <n v="1"/>
    <n v="6524"/>
    <n v="8891"/>
    <n v="1"/>
    <n v="14"/>
    <n v="3"/>
    <n v="4"/>
    <n v="80"/>
    <n v="1"/>
    <n v="10"/>
    <n v="3"/>
    <n v="10"/>
    <n v="8"/>
    <n v="5"/>
    <n v="3"/>
  </r>
  <r>
    <s v="No"/>
    <s v="Travel_Rarely"/>
    <x v="0"/>
    <s v="Current Employees"/>
    <x v="0"/>
    <x v="3"/>
    <x v="642"/>
    <x v="642"/>
    <x v="1"/>
    <x v="6"/>
    <x v="1"/>
    <s v="No"/>
    <s v="Y"/>
    <n v="3"/>
    <n v="-2"/>
    <n v="0"/>
    <x v="8"/>
    <x v="1"/>
    <m/>
    <n v="0"/>
    <n v="1"/>
    <n v="395"/>
    <n v="9"/>
    <x v="3"/>
    <n v="1"/>
    <n v="2"/>
    <n v="98"/>
    <n v="2"/>
    <n v="1"/>
    <n v="2"/>
    <n v="2899"/>
    <n v="12102"/>
    <n v="0"/>
    <n v="19"/>
    <n v="3"/>
    <n v="4"/>
    <n v="80"/>
    <n v="1"/>
    <n v="3"/>
    <n v="3"/>
    <n v="2"/>
    <n v="2"/>
    <n v="1"/>
    <n v="2"/>
  </r>
  <r>
    <s v="No"/>
    <s v="Travel_Rarely"/>
    <x v="0"/>
    <s v="Current Employees"/>
    <x v="1"/>
    <x v="0"/>
    <x v="643"/>
    <x v="643"/>
    <x v="0"/>
    <x v="2"/>
    <x v="1"/>
    <s v="Yes"/>
    <s v="Y"/>
    <n v="1"/>
    <n v="-2"/>
    <n v="0"/>
    <x v="19"/>
    <x v="1"/>
    <m/>
    <n v="0"/>
    <n v="1"/>
    <n v="1265"/>
    <n v="3"/>
    <x v="3"/>
    <n v="1"/>
    <n v="3"/>
    <n v="95"/>
    <n v="4"/>
    <n v="2"/>
    <n v="1"/>
    <n v="5231"/>
    <n v="23726"/>
    <n v="2"/>
    <n v="13"/>
    <n v="3"/>
    <n v="2"/>
    <n v="80"/>
    <n v="1"/>
    <n v="17"/>
    <n v="2"/>
    <n v="5"/>
    <n v="3"/>
    <n v="1"/>
    <n v="3"/>
  </r>
  <r>
    <s v="No"/>
    <s v="Travel_Rarely"/>
    <x v="2"/>
    <s v="Current Employees"/>
    <x v="1"/>
    <x v="0"/>
    <x v="644"/>
    <x v="644"/>
    <x v="1"/>
    <x v="1"/>
    <x v="1"/>
    <s v="Yes"/>
    <s v="Y"/>
    <n v="2"/>
    <n v="-2"/>
    <n v="0"/>
    <x v="12"/>
    <x v="1"/>
    <m/>
    <n v="0"/>
    <n v="1"/>
    <n v="1222"/>
    <n v="11"/>
    <x v="2"/>
    <n v="1"/>
    <n v="4"/>
    <n v="48"/>
    <n v="3"/>
    <n v="1"/>
    <n v="1"/>
    <n v="2356"/>
    <n v="14871"/>
    <n v="3"/>
    <n v="19"/>
    <n v="3"/>
    <n v="2"/>
    <n v="80"/>
    <n v="1"/>
    <n v="8"/>
    <n v="3"/>
    <n v="6"/>
    <n v="4"/>
    <n v="0"/>
    <n v="2"/>
  </r>
  <r>
    <s v="Yes"/>
    <s v="Travel_Rarely"/>
    <x v="2"/>
    <s v="Ex-Employees"/>
    <x v="0"/>
    <x v="2"/>
    <x v="645"/>
    <x v="645"/>
    <x v="0"/>
    <x v="6"/>
    <x v="2"/>
    <s v="Yes"/>
    <s v="Y"/>
    <n v="3"/>
    <n v="-2"/>
    <n v="0"/>
    <x v="11"/>
    <x v="0"/>
    <n v="1"/>
    <n v="1"/>
    <n v="0"/>
    <n v="341"/>
    <n v="1"/>
    <x v="3"/>
    <n v="1"/>
    <n v="2"/>
    <n v="48"/>
    <n v="2"/>
    <n v="1"/>
    <n v="3"/>
    <n v="2800"/>
    <n v="23522"/>
    <n v="6"/>
    <n v="19"/>
    <n v="3"/>
    <n v="3"/>
    <n v="80"/>
    <n v="3"/>
    <n v="5"/>
    <n v="3"/>
    <n v="3"/>
    <n v="2"/>
    <n v="0"/>
    <n v="2"/>
  </r>
  <r>
    <s v="No"/>
    <s v="Travel_Rarely"/>
    <x v="1"/>
    <s v="Current Employees"/>
    <x v="0"/>
    <x v="3"/>
    <x v="646"/>
    <x v="646"/>
    <x v="1"/>
    <x v="0"/>
    <x v="1"/>
    <s v="No"/>
    <s v="Y"/>
    <n v="3"/>
    <n v="-2"/>
    <n v="0"/>
    <x v="16"/>
    <x v="1"/>
    <m/>
    <n v="0"/>
    <n v="1"/>
    <n v="868"/>
    <n v="8"/>
    <x v="3"/>
    <n v="1"/>
    <n v="1"/>
    <n v="73"/>
    <n v="3"/>
    <n v="4"/>
    <n v="2"/>
    <n v="11836"/>
    <n v="22789"/>
    <n v="5"/>
    <n v="14"/>
    <n v="3"/>
    <n v="3"/>
    <n v="80"/>
    <n v="1"/>
    <n v="28"/>
    <n v="3"/>
    <n v="2"/>
    <n v="0"/>
    <n v="2"/>
    <n v="2"/>
  </r>
  <r>
    <s v="No"/>
    <s v="Travel_Rarely"/>
    <x v="0"/>
    <s v="Current Employees"/>
    <x v="1"/>
    <x v="4"/>
    <x v="647"/>
    <x v="647"/>
    <x v="1"/>
    <x v="3"/>
    <x v="1"/>
    <s v="No"/>
    <s v="Y"/>
    <n v="2"/>
    <n v="-2"/>
    <n v="0"/>
    <x v="10"/>
    <x v="1"/>
    <m/>
    <n v="0"/>
    <n v="1"/>
    <n v="672"/>
    <n v="25"/>
    <x v="3"/>
    <n v="1"/>
    <n v="4"/>
    <n v="78"/>
    <n v="2"/>
    <n v="3"/>
    <n v="4"/>
    <n v="10903"/>
    <n v="9129"/>
    <n v="3"/>
    <n v="16"/>
    <n v="3"/>
    <n v="1"/>
    <n v="80"/>
    <n v="0"/>
    <n v="16"/>
    <n v="3"/>
    <n v="13"/>
    <n v="10"/>
    <n v="4"/>
    <n v="8"/>
  </r>
  <r>
    <s v="No"/>
    <s v="Travel_Frequently"/>
    <x v="0"/>
    <s v="Current Employees"/>
    <x v="0"/>
    <x v="2"/>
    <x v="648"/>
    <x v="648"/>
    <x v="0"/>
    <x v="6"/>
    <x v="1"/>
    <s v="No"/>
    <s v="Y"/>
    <n v="3"/>
    <n v="-2"/>
    <n v="0"/>
    <x v="2"/>
    <x v="1"/>
    <m/>
    <n v="0"/>
    <n v="1"/>
    <n v="1231"/>
    <n v="21"/>
    <x v="0"/>
    <n v="1"/>
    <n v="3"/>
    <n v="54"/>
    <n v="3"/>
    <n v="1"/>
    <n v="4"/>
    <n v="2973"/>
    <n v="21222"/>
    <n v="5"/>
    <n v="15"/>
    <n v="3"/>
    <n v="2"/>
    <n v="80"/>
    <n v="1"/>
    <n v="10"/>
    <n v="3"/>
    <n v="5"/>
    <n v="4"/>
    <n v="0"/>
    <n v="0"/>
  </r>
  <r>
    <s v="No"/>
    <s v="Travel_Rarely"/>
    <x v="1"/>
    <s v="Current Employees"/>
    <x v="1"/>
    <x v="0"/>
    <x v="649"/>
    <x v="649"/>
    <x v="0"/>
    <x v="7"/>
    <x v="0"/>
    <s v="No"/>
    <s v="Y"/>
    <n v="0"/>
    <n v="-2"/>
    <n v="0"/>
    <x v="16"/>
    <x v="1"/>
    <m/>
    <n v="0"/>
    <n v="1"/>
    <n v="102"/>
    <n v="23"/>
    <x v="2"/>
    <n v="1"/>
    <n v="4"/>
    <n v="72"/>
    <n v="3"/>
    <n v="4"/>
    <n v="1"/>
    <n v="14275"/>
    <n v="20206"/>
    <n v="6"/>
    <n v="18"/>
    <n v="3"/>
    <n v="3"/>
    <n v="80"/>
    <n v="0"/>
    <n v="33"/>
    <n v="3"/>
    <n v="12"/>
    <n v="9"/>
    <n v="3"/>
    <n v="8"/>
  </r>
  <r>
    <s v="No"/>
    <s v="Travel_Frequently"/>
    <x v="0"/>
    <s v="Current Employees"/>
    <x v="1"/>
    <x v="0"/>
    <x v="650"/>
    <x v="650"/>
    <x v="0"/>
    <x v="4"/>
    <x v="1"/>
    <s v="No"/>
    <s v="Y"/>
    <n v="2"/>
    <n v="-2"/>
    <n v="0"/>
    <x v="23"/>
    <x v="1"/>
    <m/>
    <n v="0"/>
    <n v="1"/>
    <n v="422"/>
    <n v="1"/>
    <x v="3"/>
    <n v="1"/>
    <n v="4"/>
    <n v="33"/>
    <n v="3"/>
    <n v="2"/>
    <n v="1"/>
    <n v="5562"/>
    <n v="21782"/>
    <n v="4"/>
    <n v="13"/>
    <n v="3"/>
    <n v="2"/>
    <n v="80"/>
    <n v="1"/>
    <n v="12"/>
    <n v="2"/>
    <n v="5"/>
    <n v="2"/>
    <n v="2"/>
    <n v="2"/>
  </r>
  <r>
    <s v="No"/>
    <s v="Travel_Rarely"/>
    <x v="1"/>
    <s v="Current Employees"/>
    <x v="0"/>
    <x v="3"/>
    <x v="651"/>
    <x v="651"/>
    <x v="0"/>
    <x v="0"/>
    <x v="1"/>
    <s v="Yes"/>
    <s v="Y"/>
    <n v="2"/>
    <n v="-2"/>
    <n v="0"/>
    <x v="40"/>
    <x v="1"/>
    <m/>
    <n v="0"/>
    <n v="1"/>
    <n v="249"/>
    <n v="2"/>
    <x v="0"/>
    <n v="1"/>
    <n v="3"/>
    <n v="35"/>
    <n v="3"/>
    <n v="2"/>
    <n v="2"/>
    <n v="4537"/>
    <n v="17783"/>
    <n v="0"/>
    <n v="22"/>
    <n v="4"/>
    <n v="1"/>
    <n v="80"/>
    <n v="1"/>
    <n v="8"/>
    <n v="3"/>
    <n v="7"/>
    <n v="6"/>
    <n v="7"/>
    <n v="7"/>
  </r>
  <r>
    <s v="No"/>
    <s v="Non-Travel"/>
    <x v="0"/>
    <s v="Current Employees"/>
    <x v="0"/>
    <x v="2"/>
    <x v="652"/>
    <x v="652"/>
    <x v="1"/>
    <x v="0"/>
    <x v="0"/>
    <s v="Yes"/>
    <s v="Y"/>
    <n v="2"/>
    <n v="-2"/>
    <n v="0"/>
    <x v="2"/>
    <x v="1"/>
    <m/>
    <n v="0"/>
    <n v="1"/>
    <n v="1252"/>
    <n v="19"/>
    <x v="0"/>
    <n v="1"/>
    <n v="1"/>
    <n v="32"/>
    <n v="3"/>
    <n v="3"/>
    <n v="3"/>
    <n v="7642"/>
    <n v="4814"/>
    <n v="1"/>
    <n v="13"/>
    <n v="3"/>
    <n v="4"/>
    <n v="80"/>
    <n v="0"/>
    <n v="10"/>
    <n v="3"/>
    <n v="10"/>
    <n v="0"/>
    <n v="0"/>
    <n v="9"/>
  </r>
  <r>
    <s v="No"/>
    <s v="Non-Travel"/>
    <x v="1"/>
    <s v="Current Employees"/>
    <x v="1"/>
    <x v="0"/>
    <x v="653"/>
    <x v="653"/>
    <x v="1"/>
    <x v="5"/>
    <x v="2"/>
    <s v="No"/>
    <s v="Y"/>
    <n v="3"/>
    <n v="-2"/>
    <n v="0"/>
    <x v="24"/>
    <x v="1"/>
    <m/>
    <n v="0"/>
    <n v="1"/>
    <n v="881"/>
    <n v="2"/>
    <x v="2"/>
    <n v="1"/>
    <n v="1"/>
    <n v="98"/>
    <n v="3"/>
    <n v="4"/>
    <n v="1"/>
    <n v="17924"/>
    <n v="4544"/>
    <n v="1"/>
    <n v="11"/>
    <n v="3"/>
    <n v="4"/>
    <n v="80"/>
    <n v="1"/>
    <n v="31"/>
    <n v="3"/>
    <n v="31"/>
    <n v="6"/>
    <n v="14"/>
    <n v="7"/>
  </r>
  <r>
    <s v="No"/>
    <s v="Travel_Rarely"/>
    <x v="0"/>
    <s v="Current Employees"/>
    <x v="2"/>
    <x v="0"/>
    <x v="654"/>
    <x v="654"/>
    <x v="0"/>
    <x v="8"/>
    <x v="1"/>
    <s v="No"/>
    <s v="Y"/>
    <n v="2"/>
    <n v="-2"/>
    <n v="0"/>
    <x v="22"/>
    <x v="1"/>
    <m/>
    <n v="0"/>
    <n v="1"/>
    <n v="1383"/>
    <n v="2"/>
    <x v="3"/>
    <n v="1"/>
    <n v="4"/>
    <n v="42"/>
    <n v="2"/>
    <n v="2"/>
    <n v="1"/>
    <n v="5204"/>
    <n v="7790"/>
    <n v="8"/>
    <n v="11"/>
    <n v="3"/>
    <n v="3"/>
    <n v="80"/>
    <n v="2"/>
    <n v="13"/>
    <n v="3"/>
    <n v="5"/>
    <n v="4"/>
    <n v="0"/>
    <n v="4"/>
  </r>
  <r>
    <s v="No"/>
    <s v="Travel_Rarely"/>
    <x v="2"/>
    <s v="Current Employees"/>
    <x v="2"/>
    <x v="5"/>
    <x v="655"/>
    <x v="655"/>
    <x v="1"/>
    <x v="8"/>
    <x v="2"/>
    <s v="Yes"/>
    <s v="Y"/>
    <n v="4"/>
    <n v="-2"/>
    <n v="0"/>
    <x v="3"/>
    <x v="1"/>
    <m/>
    <n v="0"/>
    <n v="1"/>
    <n v="1075"/>
    <n v="3"/>
    <x v="0"/>
    <n v="1"/>
    <n v="4"/>
    <n v="57"/>
    <n v="3"/>
    <n v="1"/>
    <n v="3"/>
    <n v="2277"/>
    <n v="22650"/>
    <n v="3"/>
    <n v="11"/>
    <n v="3"/>
    <n v="3"/>
    <n v="80"/>
    <n v="1"/>
    <n v="7"/>
    <n v="4"/>
    <n v="4"/>
    <n v="3"/>
    <n v="0"/>
    <n v="3"/>
  </r>
  <r>
    <s v="Yes"/>
    <s v="Travel_Rarely"/>
    <x v="2"/>
    <s v="Ex-Employees"/>
    <x v="1"/>
    <x v="0"/>
    <x v="656"/>
    <x v="656"/>
    <x v="1"/>
    <x v="2"/>
    <x v="0"/>
    <s v="Yes"/>
    <s v="Y"/>
    <n v="2"/>
    <n v="-2"/>
    <n v="0"/>
    <x v="5"/>
    <x v="0"/>
    <n v="1"/>
    <n v="1"/>
    <n v="0"/>
    <n v="374"/>
    <n v="25"/>
    <x v="2"/>
    <n v="1"/>
    <n v="1"/>
    <n v="87"/>
    <n v="3"/>
    <n v="1"/>
    <n v="1"/>
    <n v="2795"/>
    <n v="18016"/>
    <n v="1"/>
    <n v="24"/>
    <n v="4"/>
    <n v="3"/>
    <n v="80"/>
    <n v="0"/>
    <n v="1"/>
    <n v="1"/>
    <n v="1"/>
    <n v="0"/>
    <n v="0"/>
    <n v="1"/>
  </r>
  <r>
    <s v="No"/>
    <s v="Travel_Rarely"/>
    <x v="2"/>
    <s v="Current Employees"/>
    <x v="1"/>
    <x v="2"/>
    <x v="657"/>
    <x v="657"/>
    <x v="0"/>
    <x v="2"/>
    <x v="2"/>
    <s v="No"/>
    <s v="Y"/>
    <n v="5"/>
    <n v="-2"/>
    <n v="0"/>
    <x v="11"/>
    <x v="1"/>
    <m/>
    <n v="0"/>
    <n v="1"/>
    <n v="1086"/>
    <n v="7"/>
    <x v="1"/>
    <n v="1"/>
    <n v="1"/>
    <n v="62"/>
    <n v="2"/>
    <n v="1"/>
    <n v="4"/>
    <n v="2532"/>
    <n v="6054"/>
    <n v="6"/>
    <n v="14"/>
    <n v="3"/>
    <n v="3"/>
    <n v="80"/>
    <n v="3"/>
    <n v="8"/>
    <n v="3"/>
    <n v="4"/>
    <n v="3"/>
    <n v="0"/>
    <n v="3"/>
  </r>
  <r>
    <s v="No"/>
    <s v="Travel_Rarely"/>
    <x v="0"/>
    <s v="Current Employees"/>
    <x v="1"/>
    <x v="0"/>
    <x v="658"/>
    <x v="658"/>
    <x v="1"/>
    <x v="1"/>
    <x v="1"/>
    <s v="Yes"/>
    <s v="Y"/>
    <n v="0"/>
    <n v="-2"/>
    <n v="0"/>
    <x v="20"/>
    <x v="1"/>
    <m/>
    <n v="0"/>
    <n v="1"/>
    <n v="661"/>
    <n v="9"/>
    <x v="0"/>
    <n v="1"/>
    <n v="2"/>
    <n v="61"/>
    <n v="3"/>
    <n v="1"/>
    <n v="1"/>
    <n v="2559"/>
    <n v="7508"/>
    <n v="1"/>
    <n v="13"/>
    <n v="3"/>
    <n v="4"/>
    <n v="80"/>
    <n v="0"/>
    <n v="8"/>
    <n v="3"/>
    <n v="8"/>
    <n v="7"/>
    <n v="7"/>
    <n v="1"/>
  </r>
  <r>
    <s v="No"/>
    <s v="Travel_Rarely"/>
    <x v="2"/>
    <s v="Current Employees"/>
    <x v="0"/>
    <x v="2"/>
    <x v="659"/>
    <x v="659"/>
    <x v="1"/>
    <x v="0"/>
    <x v="0"/>
    <s v="No"/>
    <s v="Y"/>
    <n v="3"/>
    <n v="-2"/>
    <n v="0"/>
    <x v="14"/>
    <x v="1"/>
    <m/>
    <n v="0"/>
    <n v="1"/>
    <n v="821"/>
    <n v="5"/>
    <x v="2"/>
    <n v="1"/>
    <n v="1"/>
    <n v="98"/>
    <n v="3"/>
    <n v="2"/>
    <n v="4"/>
    <n v="4908"/>
    <n v="24252"/>
    <n v="1"/>
    <n v="14"/>
    <n v="3"/>
    <n v="2"/>
    <n v="80"/>
    <n v="0"/>
    <n v="4"/>
    <n v="3"/>
    <n v="4"/>
    <n v="2"/>
    <n v="0"/>
    <n v="2"/>
  </r>
  <r>
    <s v="Yes"/>
    <s v="Travel_Frequently"/>
    <x v="3"/>
    <s v="Ex-Employees"/>
    <x v="1"/>
    <x v="0"/>
    <x v="660"/>
    <x v="660"/>
    <x v="1"/>
    <x v="2"/>
    <x v="2"/>
    <s v="Yes"/>
    <s v="Y"/>
    <n v="3"/>
    <n v="-2"/>
    <n v="0"/>
    <x v="34"/>
    <x v="0"/>
    <n v="1"/>
    <n v="1"/>
    <n v="0"/>
    <n v="781"/>
    <n v="2"/>
    <x v="1"/>
    <n v="1"/>
    <n v="4"/>
    <n v="57"/>
    <n v="2"/>
    <n v="1"/>
    <n v="1"/>
    <n v="2380"/>
    <n v="13384"/>
    <n v="9"/>
    <n v="14"/>
    <n v="3"/>
    <n v="4"/>
    <n v="80"/>
    <n v="1"/>
    <n v="3"/>
    <n v="2"/>
    <n v="1"/>
    <n v="0"/>
    <n v="0"/>
    <n v="0"/>
  </r>
  <r>
    <s v="No"/>
    <s v="Travel_Rarely"/>
    <x v="0"/>
    <s v="Current Employees"/>
    <x v="1"/>
    <x v="0"/>
    <x v="661"/>
    <x v="661"/>
    <x v="0"/>
    <x v="3"/>
    <x v="2"/>
    <s v="No"/>
    <s v="Y"/>
    <n v="2"/>
    <n v="-2"/>
    <n v="0"/>
    <x v="23"/>
    <x v="1"/>
    <m/>
    <n v="0"/>
    <n v="1"/>
    <n v="177"/>
    <n v="8"/>
    <x v="3"/>
    <n v="1"/>
    <n v="1"/>
    <n v="55"/>
    <n v="3"/>
    <n v="2"/>
    <n v="1"/>
    <n v="4765"/>
    <n v="23814"/>
    <n v="4"/>
    <n v="21"/>
    <n v="4"/>
    <n v="3"/>
    <n v="80"/>
    <n v="1"/>
    <n v="4"/>
    <n v="4"/>
    <n v="1"/>
    <n v="0"/>
    <n v="0"/>
    <n v="0"/>
  </r>
  <r>
    <s v="Yes"/>
    <s v="Travel_Rarely"/>
    <x v="4"/>
    <s v="Ex-Employees"/>
    <x v="0"/>
    <x v="2"/>
    <x v="662"/>
    <x v="662"/>
    <x v="0"/>
    <x v="6"/>
    <x v="0"/>
    <s v="No"/>
    <s v="Y"/>
    <n v="3"/>
    <n v="-2"/>
    <n v="0"/>
    <x v="35"/>
    <x v="0"/>
    <n v="1"/>
    <n v="1"/>
    <n v="0"/>
    <n v="500"/>
    <n v="2"/>
    <x v="3"/>
    <n v="1"/>
    <n v="3"/>
    <n v="49"/>
    <n v="2"/>
    <n v="1"/>
    <n v="3"/>
    <n v="2044"/>
    <n v="22052"/>
    <n v="1"/>
    <n v="13"/>
    <n v="3"/>
    <n v="4"/>
    <n v="80"/>
    <n v="0"/>
    <n v="2"/>
    <n v="2"/>
    <n v="2"/>
    <n v="2"/>
    <n v="0"/>
    <n v="2"/>
  </r>
  <r>
    <s v="Yes"/>
    <s v="Travel_Rarely"/>
    <x v="4"/>
    <s v="Ex-Employees"/>
    <x v="1"/>
    <x v="1"/>
    <x v="663"/>
    <x v="663"/>
    <x v="0"/>
    <x v="1"/>
    <x v="0"/>
    <s v="No"/>
    <s v="Y"/>
    <n v="3"/>
    <n v="-2"/>
    <n v="0"/>
    <x v="18"/>
    <x v="0"/>
    <n v="1"/>
    <n v="1"/>
    <n v="0"/>
    <n v="1427"/>
    <n v="18"/>
    <x v="1"/>
    <n v="1"/>
    <n v="4"/>
    <n v="65"/>
    <n v="3"/>
    <n v="1"/>
    <n v="4"/>
    <n v="2693"/>
    <n v="8870"/>
    <n v="1"/>
    <n v="19"/>
    <n v="3"/>
    <n v="1"/>
    <n v="80"/>
    <n v="0"/>
    <n v="1"/>
    <n v="2"/>
    <n v="1"/>
    <n v="0"/>
    <n v="0"/>
    <n v="0"/>
  </r>
  <r>
    <s v="No"/>
    <s v="Travel_Rarely"/>
    <x v="0"/>
    <s v="Current Employees"/>
    <x v="1"/>
    <x v="0"/>
    <x v="664"/>
    <x v="664"/>
    <x v="1"/>
    <x v="4"/>
    <x v="1"/>
    <s v="Yes"/>
    <s v="Y"/>
    <n v="2"/>
    <n v="-2"/>
    <n v="0"/>
    <x v="9"/>
    <x v="1"/>
    <m/>
    <n v="0"/>
    <n v="1"/>
    <n v="1425"/>
    <n v="14"/>
    <x v="1"/>
    <n v="1"/>
    <n v="3"/>
    <n v="68"/>
    <n v="3"/>
    <n v="2"/>
    <n v="1"/>
    <n v="6586"/>
    <n v="4821"/>
    <n v="0"/>
    <n v="17"/>
    <n v="3"/>
    <n v="1"/>
    <n v="80"/>
    <n v="1"/>
    <n v="17"/>
    <n v="2"/>
    <n v="16"/>
    <n v="8"/>
    <n v="4"/>
    <n v="11"/>
  </r>
  <r>
    <s v="No"/>
    <s v="Travel_Rarely"/>
    <x v="1"/>
    <s v="Current Employees"/>
    <x v="0"/>
    <x v="0"/>
    <x v="665"/>
    <x v="665"/>
    <x v="0"/>
    <x v="6"/>
    <x v="0"/>
    <s v="Yes"/>
    <s v="Y"/>
    <n v="3"/>
    <n v="-2"/>
    <n v="0"/>
    <x v="40"/>
    <x v="1"/>
    <m/>
    <n v="0"/>
    <n v="1"/>
    <n v="1454"/>
    <n v="2"/>
    <x v="2"/>
    <n v="1"/>
    <n v="4"/>
    <n v="65"/>
    <n v="2"/>
    <n v="1"/>
    <n v="1"/>
    <n v="3294"/>
    <n v="13137"/>
    <n v="1"/>
    <n v="18"/>
    <n v="3"/>
    <n v="1"/>
    <n v="80"/>
    <n v="0"/>
    <n v="3"/>
    <n v="2"/>
    <n v="3"/>
    <n v="2"/>
    <n v="1"/>
    <n v="2"/>
  </r>
  <r>
    <s v="Yes"/>
    <s v="Travel_Rarely"/>
    <x v="4"/>
    <s v="Ex-Employees"/>
    <x v="1"/>
    <x v="0"/>
    <x v="666"/>
    <x v="666"/>
    <x v="0"/>
    <x v="3"/>
    <x v="1"/>
    <s v="Yes"/>
    <s v="Y"/>
    <n v="3"/>
    <n v="-2"/>
    <n v="0"/>
    <x v="15"/>
    <x v="0"/>
    <n v="1"/>
    <n v="1"/>
    <n v="0"/>
    <n v="617"/>
    <n v="3"/>
    <x v="1"/>
    <n v="1"/>
    <n v="2"/>
    <n v="34"/>
    <n v="3"/>
    <n v="2"/>
    <n v="1"/>
    <n v="4171"/>
    <n v="10022"/>
    <n v="0"/>
    <n v="19"/>
    <n v="3"/>
    <n v="1"/>
    <n v="80"/>
    <n v="1"/>
    <n v="4"/>
    <n v="4"/>
    <n v="3"/>
    <n v="2"/>
    <n v="0"/>
    <n v="2"/>
  </r>
  <r>
    <s v="Yes"/>
    <s v="Travel_Rarely"/>
    <x v="0"/>
    <s v="Ex-Employees"/>
    <x v="1"/>
    <x v="0"/>
    <x v="667"/>
    <x v="667"/>
    <x v="0"/>
    <x v="2"/>
    <x v="2"/>
    <s v="Yes"/>
    <s v="Y"/>
    <n v="1"/>
    <n v="-2"/>
    <n v="0"/>
    <x v="0"/>
    <x v="0"/>
    <n v="1"/>
    <n v="1"/>
    <n v="0"/>
    <n v="1085"/>
    <n v="2"/>
    <x v="2"/>
    <n v="1"/>
    <n v="2"/>
    <n v="57"/>
    <n v="1"/>
    <n v="1"/>
    <n v="1"/>
    <n v="2778"/>
    <n v="17725"/>
    <n v="4"/>
    <n v="13"/>
    <n v="3"/>
    <n v="3"/>
    <n v="80"/>
    <n v="1"/>
    <n v="10"/>
    <n v="2"/>
    <n v="7"/>
    <n v="7"/>
    <n v="1"/>
    <n v="0"/>
  </r>
  <r>
    <s v="No"/>
    <s v="Travel_Rarely"/>
    <x v="2"/>
    <s v="Current Employees"/>
    <x v="1"/>
    <x v="2"/>
    <x v="668"/>
    <x v="668"/>
    <x v="0"/>
    <x v="1"/>
    <x v="2"/>
    <s v="No"/>
    <s v="Y"/>
    <n v="2"/>
    <n v="-2"/>
    <n v="0"/>
    <x v="14"/>
    <x v="1"/>
    <m/>
    <n v="0"/>
    <n v="1"/>
    <n v="995"/>
    <n v="9"/>
    <x v="3"/>
    <n v="1"/>
    <n v="3"/>
    <n v="77"/>
    <n v="3"/>
    <n v="1"/>
    <n v="3"/>
    <n v="2377"/>
    <n v="9834"/>
    <n v="5"/>
    <n v="18"/>
    <n v="3"/>
    <n v="2"/>
    <n v="80"/>
    <n v="1"/>
    <n v="6"/>
    <n v="3"/>
    <n v="2"/>
    <n v="2"/>
    <n v="2"/>
    <n v="2"/>
  </r>
  <r>
    <s v="Yes"/>
    <s v="Travel_Rarely"/>
    <x v="0"/>
    <s v="Ex-Employees"/>
    <x v="1"/>
    <x v="2"/>
    <x v="669"/>
    <x v="669"/>
    <x v="1"/>
    <x v="2"/>
    <x v="1"/>
    <s v="Yes"/>
    <s v="Y"/>
    <n v="2"/>
    <n v="-2"/>
    <n v="0"/>
    <x v="22"/>
    <x v="0"/>
    <n v="1"/>
    <n v="1"/>
    <n v="0"/>
    <n v="1122"/>
    <n v="6"/>
    <x v="3"/>
    <n v="1"/>
    <n v="4"/>
    <n v="70"/>
    <n v="3"/>
    <n v="1"/>
    <n v="3"/>
    <n v="2404"/>
    <n v="4303"/>
    <n v="7"/>
    <n v="21"/>
    <n v="4"/>
    <n v="4"/>
    <n v="80"/>
    <n v="0"/>
    <n v="8"/>
    <n v="1"/>
    <n v="2"/>
    <n v="2"/>
    <n v="2"/>
    <n v="2"/>
  </r>
  <r>
    <s v="No"/>
    <s v="Travel_Rarely"/>
    <x v="2"/>
    <s v="Current Employees"/>
    <x v="1"/>
    <x v="0"/>
    <x v="670"/>
    <x v="670"/>
    <x v="0"/>
    <x v="1"/>
    <x v="0"/>
    <s v="No"/>
    <s v="Y"/>
    <n v="2"/>
    <n v="-2"/>
    <n v="0"/>
    <x v="4"/>
    <x v="1"/>
    <m/>
    <n v="0"/>
    <n v="1"/>
    <n v="618"/>
    <n v="4"/>
    <x v="3"/>
    <n v="1"/>
    <n v="2"/>
    <n v="76"/>
    <n v="3"/>
    <n v="1"/>
    <n v="1"/>
    <n v="2318"/>
    <n v="17808"/>
    <n v="1"/>
    <n v="19"/>
    <n v="3"/>
    <n v="3"/>
    <n v="80"/>
    <n v="0"/>
    <n v="1"/>
    <n v="3"/>
    <n v="1"/>
    <n v="1"/>
    <n v="0"/>
    <n v="0"/>
  </r>
  <r>
    <s v="No"/>
    <s v="Travel_Rarely"/>
    <x v="2"/>
    <s v="Current Employees"/>
    <x v="1"/>
    <x v="0"/>
    <x v="671"/>
    <x v="671"/>
    <x v="1"/>
    <x v="2"/>
    <x v="2"/>
    <s v="No"/>
    <s v="Y"/>
    <n v="3"/>
    <n v="-2"/>
    <n v="0"/>
    <x v="13"/>
    <x v="1"/>
    <m/>
    <n v="0"/>
    <n v="1"/>
    <n v="546"/>
    <n v="10"/>
    <x v="3"/>
    <n v="1"/>
    <n v="2"/>
    <n v="83"/>
    <n v="3"/>
    <n v="1"/>
    <n v="1"/>
    <n v="2008"/>
    <n v="6896"/>
    <n v="1"/>
    <n v="14"/>
    <n v="3"/>
    <n v="2"/>
    <n v="80"/>
    <n v="2"/>
    <n v="1"/>
    <n v="3"/>
    <n v="1"/>
    <n v="0"/>
    <n v="1"/>
    <n v="0"/>
  </r>
  <r>
    <s v="No"/>
    <s v="Travel_Rarely"/>
    <x v="0"/>
    <s v="Current Employees"/>
    <x v="0"/>
    <x v="2"/>
    <x v="672"/>
    <x v="672"/>
    <x v="0"/>
    <x v="0"/>
    <x v="0"/>
    <s v="No"/>
    <s v="Y"/>
    <n v="6"/>
    <n v="-2"/>
    <n v="0"/>
    <x v="19"/>
    <x v="1"/>
    <m/>
    <n v="0"/>
    <n v="1"/>
    <n v="462"/>
    <n v="14"/>
    <x v="0"/>
    <n v="1"/>
    <n v="3"/>
    <n v="68"/>
    <n v="2"/>
    <n v="2"/>
    <n v="3"/>
    <n v="6244"/>
    <n v="7824"/>
    <n v="7"/>
    <n v="17"/>
    <n v="3"/>
    <n v="1"/>
    <n v="80"/>
    <n v="0"/>
    <n v="10"/>
    <n v="3"/>
    <n v="5"/>
    <n v="4"/>
    <n v="0"/>
    <n v="3"/>
  </r>
  <r>
    <s v="No"/>
    <s v="Travel_Rarely"/>
    <x v="2"/>
    <s v="Current Employees"/>
    <x v="1"/>
    <x v="1"/>
    <x v="673"/>
    <x v="673"/>
    <x v="1"/>
    <x v="1"/>
    <x v="0"/>
    <s v="Yes"/>
    <s v="Y"/>
    <n v="1"/>
    <n v="-2"/>
    <n v="0"/>
    <x v="3"/>
    <x v="1"/>
    <m/>
    <n v="0"/>
    <n v="1"/>
    <n v="1198"/>
    <n v="1"/>
    <x v="2"/>
    <n v="1"/>
    <n v="3"/>
    <n v="100"/>
    <n v="2"/>
    <n v="1"/>
    <n v="3"/>
    <n v="2799"/>
    <n v="3339"/>
    <n v="3"/>
    <n v="11"/>
    <n v="3"/>
    <n v="2"/>
    <n v="80"/>
    <n v="0"/>
    <n v="6"/>
    <n v="3"/>
    <n v="3"/>
    <n v="2"/>
    <n v="0"/>
    <n v="2"/>
  </r>
  <r>
    <s v="No"/>
    <s v="Travel_Rarely"/>
    <x v="3"/>
    <s v="Current Employees"/>
    <x v="1"/>
    <x v="4"/>
    <x v="674"/>
    <x v="674"/>
    <x v="0"/>
    <x v="4"/>
    <x v="2"/>
    <s v="Yes"/>
    <s v="Y"/>
    <n v="3"/>
    <n v="-2"/>
    <n v="0"/>
    <x v="34"/>
    <x v="1"/>
    <m/>
    <n v="0"/>
    <n v="1"/>
    <n v="1272"/>
    <n v="5"/>
    <x v="3"/>
    <n v="1"/>
    <n v="4"/>
    <n v="37"/>
    <n v="2"/>
    <n v="3"/>
    <n v="4"/>
    <n v="10552"/>
    <n v="9255"/>
    <n v="2"/>
    <n v="13"/>
    <n v="3"/>
    <n v="4"/>
    <n v="80"/>
    <n v="1"/>
    <n v="24"/>
    <n v="3"/>
    <n v="6"/>
    <n v="0"/>
    <n v="0"/>
    <n v="4"/>
  </r>
  <r>
    <s v="No"/>
    <s v="Travel_Rarely"/>
    <x v="2"/>
    <s v="Current Employees"/>
    <x v="0"/>
    <x v="0"/>
    <x v="675"/>
    <x v="675"/>
    <x v="1"/>
    <x v="6"/>
    <x v="1"/>
    <s v="No"/>
    <s v="Y"/>
    <n v="2"/>
    <n v="-2"/>
    <n v="0"/>
    <x v="12"/>
    <x v="1"/>
    <m/>
    <n v="0"/>
    <n v="1"/>
    <n v="154"/>
    <n v="7"/>
    <x v="2"/>
    <n v="1"/>
    <n v="2"/>
    <n v="41"/>
    <n v="2"/>
    <n v="1"/>
    <n v="1"/>
    <n v="2329"/>
    <n v="11737"/>
    <n v="3"/>
    <n v="15"/>
    <n v="3"/>
    <n v="2"/>
    <n v="80"/>
    <n v="0"/>
    <n v="13"/>
    <n v="4"/>
    <n v="7"/>
    <n v="7"/>
    <n v="5"/>
    <n v="2"/>
  </r>
  <r>
    <s v="No"/>
    <s v="Travel_Rarely"/>
    <x v="0"/>
    <s v="Current Employees"/>
    <x v="1"/>
    <x v="0"/>
    <x v="676"/>
    <x v="676"/>
    <x v="0"/>
    <x v="4"/>
    <x v="1"/>
    <s v="Yes"/>
    <s v="Y"/>
    <n v="2"/>
    <n v="-2"/>
    <n v="0"/>
    <x v="10"/>
    <x v="1"/>
    <m/>
    <n v="0"/>
    <n v="1"/>
    <n v="1137"/>
    <n v="21"/>
    <x v="1"/>
    <n v="1"/>
    <n v="4"/>
    <n v="51"/>
    <n v="3"/>
    <n v="2"/>
    <n v="1"/>
    <n v="4014"/>
    <n v="19170"/>
    <n v="1"/>
    <n v="25"/>
    <n v="4"/>
    <n v="4"/>
    <n v="80"/>
    <n v="1"/>
    <n v="10"/>
    <n v="1"/>
    <n v="10"/>
    <n v="6"/>
    <n v="0"/>
    <n v="7"/>
  </r>
  <r>
    <s v="No"/>
    <s v="Travel_Rarely"/>
    <x v="1"/>
    <s v="Current Employees"/>
    <x v="1"/>
    <x v="1"/>
    <x v="677"/>
    <x v="677"/>
    <x v="0"/>
    <x v="2"/>
    <x v="1"/>
    <s v="No"/>
    <s v="Y"/>
    <n v="3"/>
    <n v="-2"/>
    <n v="0"/>
    <x v="1"/>
    <x v="1"/>
    <m/>
    <n v="0"/>
    <n v="1"/>
    <n v="527"/>
    <n v="8"/>
    <x v="0"/>
    <n v="1"/>
    <n v="1"/>
    <n v="51"/>
    <n v="3"/>
    <n v="3"/>
    <n v="3"/>
    <n v="7403"/>
    <n v="22477"/>
    <n v="4"/>
    <n v="11"/>
    <n v="3"/>
    <n v="3"/>
    <n v="80"/>
    <n v="1"/>
    <n v="29"/>
    <n v="2"/>
    <n v="26"/>
    <n v="9"/>
    <n v="1"/>
    <n v="7"/>
  </r>
  <r>
    <s v="No"/>
    <s v="Travel_Rarely"/>
    <x v="1"/>
    <s v="Current Employees"/>
    <x v="1"/>
    <x v="2"/>
    <x v="678"/>
    <x v="678"/>
    <x v="1"/>
    <x v="1"/>
    <x v="1"/>
    <s v="No"/>
    <s v="Y"/>
    <n v="2"/>
    <n v="-2"/>
    <n v="0"/>
    <x v="26"/>
    <x v="1"/>
    <m/>
    <n v="0"/>
    <n v="1"/>
    <n v="1469"/>
    <n v="20"/>
    <x v="2"/>
    <n v="1"/>
    <n v="4"/>
    <n v="51"/>
    <n v="3"/>
    <n v="1"/>
    <n v="3"/>
    <n v="2259"/>
    <n v="5543"/>
    <n v="4"/>
    <n v="17"/>
    <n v="3"/>
    <n v="1"/>
    <n v="80"/>
    <n v="2"/>
    <n v="13"/>
    <n v="2"/>
    <n v="0"/>
    <n v="0"/>
    <n v="0"/>
    <n v="0"/>
  </r>
  <r>
    <s v="No"/>
    <s v="Non-Travel"/>
    <x v="2"/>
    <s v="Current Employees"/>
    <x v="0"/>
    <x v="3"/>
    <x v="679"/>
    <x v="679"/>
    <x v="0"/>
    <x v="0"/>
    <x v="1"/>
    <s v="No"/>
    <s v="Y"/>
    <n v="2"/>
    <n v="-2"/>
    <n v="0"/>
    <x v="12"/>
    <x v="1"/>
    <m/>
    <n v="0"/>
    <n v="1"/>
    <n v="1188"/>
    <n v="20"/>
    <x v="0"/>
    <n v="1"/>
    <n v="4"/>
    <n v="45"/>
    <n v="3"/>
    <n v="2"/>
    <n v="2"/>
    <n v="6932"/>
    <n v="24406"/>
    <n v="1"/>
    <n v="13"/>
    <n v="3"/>
    <n v="4"/>
    <n v="80"/>
    <n v="1"/>
    <n v="9"/>
    <n v="2"/>
    <n v="9"/>
    <n v="8"/>
    <n v="0"/>
    <n v="0"/>
  </r>
  <r>
    <s v="No"/>
    <s v="Travel_Rarely"/>
    <x v="0"/>
    <s v="Current Employees"/>
    <x v="1"/>
    <x v="1"/>
    <x v="680"/>
    <x v="680"/>
    <x v="1"/>
    <x v="1"/>
    <x v="0"/>
    <s v="No"/>
    <s v="Y"/>
    <n v="6"/>
    <n v="-2"/>
    <n v="0"/>
    <x v="9"/>
    <x v="1"/>
    <m/>
    <n v="0"/>
    <n v="1"/>
    <n v="188"/>
    <n v="7"/>
    <x v="2"/>
    <n v="1"/>
    <n v="2"/>
    <n v="65"/>
    <n v="3"/>
    <n v="1"/>
    <n v="4"/>
    <n v="4678"/>
    <n v="23293"/>
    <n v="2"/>
    <n v="18"/>
    <n v="3"/>
    <n v="3"/>
    <n v="80"/>
    <n v="0"/>
    <n v="8"/>
    <n v="3"/>
    <n v="6"/>
    <n v="2"/>
    <n v="0"/>
    <n v="1"/>
  </r>
  <r>
    <s v="No"/>
    <s v="Travel_Rarely"/>
    <x v="0"/>
    <s v="Current Employees"/>
    <x v="1"/>
    <x v="4"/>
    <x v="681"/>
    <x v="681"/>
    <x v="0"/>
    <x v="7"/>
    <x v="1"/>
    <s v="No"/>
    <s v="Y"/>
    <n v="3"/>
    <n v="-2"/>
    <n v="0"/>
    <x v="8"/>
    <x v="1"/>
    <m/>
    <n v="0"/>
    <n v="1"/>
    <n v="1333"/>
    <n v="1"/>
    <x v="3"/>
    <n v="1"/>
    <n v="4"/>
    <n v="80"/>
    <n v="3"/>
    <n v="3"/>
    <n v="4"/>
    <n v="13582"/>
    <n v="16292"/>
    <n v="1"/>
    <n v="13"/>
    <n v="3"/>
    <n v="2"/>
    <n v="80"/>
    <n v="1"/>
    <n v="15"/>
    <n v="3"/>
    <n v="15"/>
    <n v="12"/>
    <n v="5"/>
    <n v="11"/>
  </r>
  <r>
    <s v="No"/>
    <s v="Non-Travel"/>
    <x v="2"/>
    <s v="Current Employees"/>
    <x v="1"/>
    <x v="0"/>
    <x v="682"/>
    <x v="682"/>
    <x v="0"/>
    <x v="2"/>
    <x v="1"/>
    <s v="No"/>
    <s v="Y"/>
    <n v="3"/>
    <n v="-2"/>
    <n v="0"/>
    <x v="5"/>
    <x v="1"/>
    <m/>
    <n v="0"/>
    <n v="1"/>
    <n v="1184"/>
    <n v="1"/>
    <x v="3"/>
    <n v="1"/>
    <n v="3"/>
    <n v="70"/>
    <n v="2"/>
    <n v="1"/>
    <n v="1"/>
    <n v="2332"/>
    <n v="3974"/>
    <n v="6"/>
    <n v="20"/>
    <n v="4"/>
    <n v="3"/>
    <n v="80"/>
    <n v="0"/>
    <n v="5"/>
    <n v="3"/>
    <n v="3"/>
    <n v="0"/>
    <n v="0"/>
    <n v="2"/>
  </r>
  <r>
    <s v="Yes"/>
    <s v="Travel_Rarely"/>
    <x v="2"/>
    <s v="Ex-Employees"/>
    <x v="0"/>
    <x v="3"/>
    <x v="683"/>
    <x v="683"/>
    <x v="1"/>
    <x v="6"/>
    <x v="1"/>
    <s v="Yes"/>
    <s v="Y"/>
    <n v="2"/>
    <n v="-2"/>
    <n v="0"/>
    <x v="36"/>
    <x v="0"/>
    <n v="1"/>
    <n v="1"/>
    <n v="0"/>
    <n v="867"/>
    <n v="19"/>
    <x v="0"/>
    <n v="1"/>
    <n v="3"/>
    <n v="36"/>
    <n v="2"/>
    <n v="1"/>
    <n v="2"/>
    <n v="2413"/>
    <n v="18798"/>
    <n v="1"/>
    <n v="18"/>
    <n v="3"/>
    <n v="3"/>
    <n v="80"/>
    <n v="3"/>
    <n v="1"/>
    <n v="3"/>
    <n v="1"/>
    <n v="0"/>
    <n v="0"/>
    <n v="0"/>
  </r>
  <r>
    <s v="No"/>
    <s v="Travel_Rarely"/>
    <x v="0"/>
    <s v="Current Employees"/>
    <x v="0"/>
    <x v="3"/>
    <x v="684"/>
    <x v="684"/>
    <x v="1"/>
    <x v="0"/>
    <x v="2"/>
    <s v="No"/>
    <s v="Y"/>
    <n v="2"/>
    <n v="-2"/>
    <n v="0"/>
    <x v="32"/>
    <x v="1"/>
    <m/>
    <n v="0"/>
    <n v="1"/>
    <n v="658"/>
    <n v="10"/>
    <x v="2"/>
    <n v="1"/>
    <n v="1"/>
    <n v="67"/>
    <n v="2"/>
    <n v="3"/>
    <n v="2"/>
    <n v="9705"/>
    <n v="20652"/>
    <n v="2"/>
    <n v="12"/>
    <n v="3"/>
    <n v="2"/>
    <n v="80"/>
    <n v="1"/>
    <n v="11"/>
    <n v="2"/>
    <n v="1"/>
    <n v="0"/>
    <n v="0"/>
    <n v="0"/>
  </r>
  <r>
    <s v="No"/>
    <s v="Travel_Frequently"/>
    <x v="2"/>
    <s v="Current Employees"/>
    <x v="0"/>
    <x v="2"/>
    <x v="685"/>
    <x v="685"/>
    <x v="1"/>
    <x v="0"/>
    <x v="0"/>
    <s v="No"/>
    <s v="Y"/>
    <n v="2"/>
    <n v="-2"/>
    <n v="0"/>
    <x v="25"/>
    <x v="1"/>
    <m/>
    <n v="0"/>
    <n v="1"/>
    <n v="1283"/>
    <n v="1"/>
    <x v="3"/>
    <n v="1"/>
    <n v="3"/>
    <n v="52"/>
    <n v="2"/>
    <n v="2"/>
    <n v="3"/>
    <n v="4294"/>
    <n v="11148"/>
    <n v="1"/>
    <n v="12"/>
    <n v="3"/>
    <n v="2"/>
    <n v="80"/>
    <n v="0"/>
    <n v="7"/>
    <n v="3"/>
    <n v="7"/>
    <n v="7"/>
    <n v="0"/>
    <n v="7"/>
  </r>
  <r>
    <s v="No"/>
    <s v="Travel_Rarely"/>
    <x v="0"/>
    <s v="Current Employees"/>
    <x v="1"/>
    <x v="2"/>
    <x v="686"/>
    <x v="686"/>
    <x v="1"/>
    <x v="2"/>
    <x v="0"/>
    <s v="Yes"/>
    <s v="Y"/>
    <n v="3"/>
    <n v="-2"/>
    <n v="0"/>
    <x v="0"/>
    <x v="1"/>
    <m/>
    <n v="0"/>
    <n v="1"/>
    <n v="263"/>
    <n v="6"/>
    <x v="3"/>
    <n v="1"/>
    <n v="4"/>
    <n v="59"/>
    <n v="3"/>
    <n v="1"/>
    <n v="3"/>
    <n v="4721"/>
    <n v="3119"/>
    <n v="2"/>
    <n v="13"/>
    <n v="3"/>
    <n v="3"/>
    <n v="80"/>
    <n v="0"/>
    <n v="20"/>
    <n v="3"/>
    <n v="18"/>
    <n v="13"/>
    <n v="2"/>
    <n v="17"/>
  </r>
  <r>
    <s v="No"/>
    <s v="Travel_Rarely"/>
    <x v="0"/>
    <s v="Current Employees"/>
    <x v="1"/>
    <x v="2"/>
    <x v="687"/>
    <x v="687"/>
    <x v="1"/>
    <x v="2"/>
    <x v="0"/>
    <s v="No"/>
    <s v="Y"/>
    <n v="6"/>
    <n v="-2"/>
    <n v="0"/>
    <x v="9"/>
    <x v="1"/>
    <m/>
    <n v="0"/>
    <n v="1"/>
    <n v="938"/>
    <n v="2"/>
    <x v="2"/>
    <n v="1"/>
    <n v="3"/>
    <n v="79"/>
    <n v="3"/>
    <n v="1"/>
    <n v="3"/>
    <n v="2519"/>
    <n v="12287"/>
    <n v="4"/>
    <n v="21"/>
    <n v="4"/>
    <n v="3"/>
    <n v="80"/>
    <n v="0"/>
    <n v="16"/>
    <n v="3"/>
    <n v="11"/>
    <n v="8"/>
    <n v="3"/>
    <n v="9"/>
  </r>
  <r>
    <s v="Yes"/>
    <s v="Travel_Rarely"/>
    <x v="4"/>
    <s v="Ex-Employees"/>
    <x v="0"/>
    <x v="1"/>
    <x v="688"/>
    <x v="688"/>
    <x v="1"/>
    <x v="6"/>
    <x v="0"/>
    <s v="Yes"/>
    <s v="Y"/>
    <n v="3"/>
    <n v="-2"/>
    <n v="0"/>
    <x v="37"/>
    <x v="0"/>
    <n v="1"/>
    <n v="1"/>
    <n v="0"/>
    <n v="419"/>
    <n v="21"/>
    <x v="3"/>
    <n v="1"/>
    <n v="4"/>
    <n v="37"/>
    <n v="2"/>
    <n v="1"/>
    <n v="3"/>
    <n v="2121"/>
    <n v="9947"/>
    <n v="1"/>
    <n v="13"/>
    <n v="3"/>
    <n v="2"/>
    <n v="80"/>
    <n v="0"/>
    <n v="1"/>
    <n v="4"/>
    <n v="1"/>
    <n v="0"/>
    <n v="0"/>
    <n v="0"/>
  </r>
  <r>
    <s v="Yes"/>
    <s v="Travel_Rarely"/>
    <x v="4"/>
    <s v="Ex-Employees"/>
    <x v="1"/>
    <x v="4"/>
    <x v="689"/>
    <x v="689"/>
    <x v="1"/>
    <x v="2"/>
    <x v="0"/>
    <s v="No"/>
    <s v="Y"/>
    <n v="2"/>
    <n v="-2"/>
    <n v="0"/>
    <x v="35"/>
    <x v="0"/>
    <n v="1"/>
    <n v="1"/>
    <n v="0"/>
    <n v="129"/>
    <n v="4"/>
    <x v="3"/>
    <n v="1"/>
    <n v="4"/>
    <n v="84"/>
    <n v="3"/>
    <n v="1"/>
    <n v="4"/>
    <n v="2973"/>
    <n v="13008"/>
    <n v="1"/>
    <n v="19"/>
    <n v="3"/>
    <n v="2"/>
    <n v="80"/>
    <n v="0"/>
    <n v="1"/>
    <n v="3"/>
    <n v="1"/>
    <n v="0"/>
    <n v="0"/>
    <n v="0"/>
  </r>
  <r>
    <s v="No"/>
    <s v="Travel_Rarely"/>
    <x v="2"/>
    <s v="Current Employees"/>
    <x v="1"/>
    <x v="2"/>
    <x v="690"/>
    <x v="690"/>
    <x v="0"/>
    <x v="4"/>
    <x v="1"/>
    <s v="Yes"/>
    <s v="Y"/>
    <n v="2"/>
    <n v="-2"/>
    <n v="0"/>
    <x v="12"/>
    <x v="1"/>
    <m/>
    <n v="0"/>
    <n v="1"/>
    <n v="616"/>
    <n v="12"/>
    <x v="3"/>
    <n v="1"/>
    <n v="4"/>
    <n v="41"/>
    <n v="3"/>
    <n v="2"/>
    <n v="4"/>
    <n v="5855"/>
    <n v="17369"/>
    <n v="0"/>
    <n v="11"/>
    <n v="3"/>
    <n v="3"/>
    <n v="80"/>
    <n v="2"/>
    <n v="10"/>
    <n v="1"/>
    <n v="9"/>
    <n v="7"/>
    <n v="8"/>
    <n v="5"/>
  </r>
  <r>
    <s v="No"/>
    <s v="Travel_Frequently"/>
    <x v="0"/>
    <s v="Current Employees"/>
    <x v="1"/>
    <x v="2"/>
    <x v="691"/>
    <x v="691"/>
    <x v="1"/>
    <x v="1"/>
    <x v="2"/>
    <s v="Yes"/>
    <s v="Y"/>
    <n v="2"/>
    <n v="-2"/>
    <n v="0"/>
    <x v="32"/>
    <x v="1"/>
    <m/>
    <n v="0"/>
    <n v="1"/>
    <n v="1469"/>
    <n v="9"/>
    <x v="2"/>
    <n v="1"/>
    <n v="4"/>
    <n v="35"/>
    <n v="3"/>
    <n v="1"/>
    <n v="3"/>
    <n v="3617"/>
    <n v="25063"/>
    <n v="8"/>
    <n v="14"/>
    <n v="3"/>
    <n v="4"/>
    <n v="80"/>
    <n v="1"/>
    <n v="3"/>
    <n v="3"/>
    <n v="1"/>
    <n v="1"/>
    <n v="0"/>
    <n v="0"/>
  </r>
  <r>
    <s v="No"/>
    <s v="Travel_Rarely"/>
    <x v="2"/>
    <s v="Current Employees"/>
    <x v="1"/>
    <x v="2"/>
    <x v="692"/>
    <x v="692"/>
    <x v="0"/>
    <x v="3"/>
    <x v="1"/>
    <s v="No"/>
    <s v="Y"/>
    <n v="2"/>
    <n v="-2"/>
    <n v="0"/>
    <x v="5"/>
    <x v="1"/>
    <m/>
    <n v="0"/>
    <n v="1"/>
    <n v="498"/>
    <n v="3"/>
    <x v="2"/>
    <n v="1"/>
    <n v="3"/>
    <n v="93"/>
    <n v="3"/>
    <n v="2"/>
    <n v="3"/>
    <n v="6725"/>
    <n v="13554"/>
    <n v="1"/>
    <n v="12"/>
    <n v="3"/>
    <n v="3"/>
    <n v="80"/>
    <n v="1"/>
    <n v="8"/>
    <n v="4"/>
    <n v="8"/>
    <n v="7"/>
    <n v="6"/>
    <n v="3"/>
  </r>
  <r>
    <s v="Yes"/>
    <s v="Travel_Rarely"/>
    <x v="0"/>
    <s v="Ex-Employees"/>
    <x v="0"/>
    <x v="0"/>
    <x v="693"/>
    <x v="693"/>
    <x v="1"/>
    <x v="0"/>
    <x v="1"/>
    <s v="Yes"/>
    <s v="Y"/>
    <n v="6"/>
    <n v="-2"/>
    <n v="0"/>
    <x v="9"/>
    <x v="0"/>
    <n v="1"/>
    <n v="1"/>
    <n v="0"/>
    <n v="530"/>
    <n v="3"/>
    <x v="1"/>
    <n v="1"/>
    <n v="3"/>
    <n v="51"/>
    <n v="2"/>
    <n v="3"/>
    <n v="1"/>
    <n v="10325"/>
    <n v="5518"/>
    <n v="1"/>
    <n v="11"/>
    <n v="3"/>
    <n v="1"/>
    <n v="80"/>
    <n v="1"/>
    <n v="16"/>
    <n v="3"/>
    <n v="16"/>
    <n v="7"/>
    <n v="3"/>
    <n v="7"/>
  </r>
  <r>
    <s v="No"/>
    <s v="Travel_Rarely"/>
    <x v="2"/>
    <s v="Current Employees"/>
    <x v="1"/>
    <x v="0"/>
    <x v="694"/>
    <x v="694"/>
    <x v="0"/>
    <x v="4"/>
    <x v="0"/>
    <s v="No"/>
    <s v="Y"/>
    <n v="3"/>
    <n v="-2"/>
    <n v="0"/>
    <x v="3"/>
    <x v="1"/>
    <m/>
    <n v="0"/>
    <n v="1"/>
    <n v="1069"/>
    <n v="1"/>
    <x v="3"/>
    <n v="1"/>
    <n v="2"/>
    <n v="42"/>
    <n v="2"/>
    <n v="2"/>
    <n v="1"/>
    <n v="6949"/>
    <n v="12291"/>
    <n v="0"/>
    <n v="14"/>
    <n v="3"/>
    <n v="1"/>
    <n v="80"/>
    <n v="0"/>
    <n v="6"/>
    <n v="3"/>
    <n v="5"/>
    <n v="0"/>
    <n v="1"/>
    <n v="4"/>
  </r>
  <r>
    <s v="Yes"/>
    <s v="Travel_Rarely"/>
    <x v="0"/>
    <s v="Ex-Employees"/>
    <x v="0"/>
    <x v="0"/>
    <x v="695"/>
    <x v="695"/>
    <x v="1"/>
    <x v="0"/>
    <x v="1"/>
    <s v="No"/>
    <s v="Y"/>
    <n v="2"/>
    <n v="-2"/>
    <n v="0"/>
    <x v="2"/>
    <x v="0"/>
    <n v="1"/>
    <n v="1"/>
    <n v="0"/>
    <n v="625"/>
    <n v="1"/>
    <x v="2"/>
    <n v="1"/>
    <n v="1"/>
    <n v="46"/>
    <n v="2"/>
    <n v="3"/>
    <n v="1"/>
    <n v="10609"/>
    <n v="14922"/>
    <n v="5"/>
    <n v="11"/>
    <n v="3"/>
    <n v="3"/>
    <n v="80"/>
    <n v="0"/>
    <n v="17"/>
    <n v="1"/>
    <n v="14"/>
    <n v="1"/>
    <n v="11"/>
    <n v="7"/>
  </r>
  <r>
    <s v="No"/>
    <s v="Non-Travel"/>
    <x v="1"/>
    <s v="Current Employees"/>
    <x v="1"/>
    <x v="0"/>
    <x v="696"/>
    <x v="696"/>
    <x v="1"/>
    <x v="2"/>
    <x v="1"/>
    <s v="No"/>
    <s v="Y"/>
    <n v="5"/>
    <n v="-2"/>
    <n v="0"/>
    <x v="28"/>
    <x v="1"/>
    <m/>
    <n v="0"/>
    <n v="1"/>
    <n v="805"/>
    <n v="4"/>
    <x v="0"/>
    <n v="1"/>
    <n v="3"/>
    <n v="57"/>
    <n v="3"/>
    <n v="2"/>
    <n v="1"/>
    <n v="4447"/>
    <n v="23163"/>
    <n v="1"/>
    <n v="12"/>
    <n v="3"/>
    <n v="2"/>
    <n v="80"/>
    <n v="0"/>
    <n v="9"/>
    <n v="2"/>
    <n v="9"/>
    <n v="7"/>
    <n v="0"/>
    <n v="8"/>
  </r>
  <r>
    <s v="No"/>
    <s v="Travel_Frequently"/>
    <x v="2"/>
    <s v="Current Employees"/>
    <x v="0"/>
    <x v="4"/>
    <x v="697"/>
    <x v="697"/>
    <x v="0"/>
    <x v="6"/>
    <x v="1"/>
    <s v="No"/>
    <s v="Y"/>
    <n v="5"/>
    <n v="-2"/>
    <n v="0"/>
    <x v="11"/>
    <x v="1"/>
    <m/>
    <n v="0"/>
    <n v="1"/>
    <n v="1404"/>
    <n v="20"/>
    <x v="3"/>
    <n v="1"/>
    <n v="4"/>
    <n v="84"/>
    <n v="3"/>
    <n v="1"/>
    <n v="4"/>
    <n v="2157"/>
    <n v="18203"/>
    <n v="1"/>
    <n v="15"/>
    <n v="3"/>
    <n v="2"/>
    <n v="80"/>
    <n v="1"/>
    <n v="3"/>
    <n v="3"/>
    <n v="3"/>
    <n v="1"/>
    <n v="0"/>
    <n v="2"/>
  </r>
  <r>
    <s v="No"/>
    <s v="Travel_Rarely"/>
    <x v="0"/>
    <s v="Current Employees"/>
    <x v="0"/>
    <x v="2"/>
    <x v="698"/>
    <x v="698"/>
    <x v="0"/>
    <x v="0"/>
    <x v="1"/>
    <s v="No"/>
    <s v="Y"/>
    <n v="3"/>
    <n v="-2"/>
    <n v="0"/>
    <x v="10"/>
    <x v="1"/>
    <m/>
    <n v="0"/>
    <n v="1"/>
    <n v="1219"/>
    <n v="18"/>
    <x v="3"/>
    <n v="1"/>
    <n v="3"/>
    <n v="86"/>
    <n v="3"/>
    <n v="2"/>
    <n v="3"/>
    <n v="4601"/>
    <n v="6179"/>
    <n v="1"/>
    <n v="16"/>
    <n v="3"/>
    <n v="2"/>
    <n v="80"/>
    <n v="0"/>
    <n v="5"/>
    <n v="3"/>
    <n v="5"/>
    <n v="2"/>
    <n v="1"/>
    <n v="0"/>
  </r>
  <r>
    <s v="No"/>
    <s v="Travel_Rarely"/>
    <x v="1"/>
    <s v="Current Employees"/>
    <x v="1"/>
    <x v="0"/>
    <x v="699"/>
    <x v="699"/>
    <x v="1"/>
    <x v="5"/>
    <x v="1"/>
    <s v="No"/>
    <s v="Y"/>
    <n v="2"/>
    <n v="-2"/>
    <n v="0"/>
    <x v="39"/>
    <x v="1"/>
    <m/>
    <n v="0"/>
    <n v="1"/>
    <n v="1053"/>
    <n v="1"/>
    <x v="0"/>
    <n v="1"/>
    <n v="4"/>
    <n v="70"/>
    <n v="3"/>
    <n v="4"/>
    <n v="1"/>
    <n v="17099"/>
    <n v="13829"/>
    <n v="2"/>
    <n v="15"/>
    <n v="3"/>
    <n v="2"/>
    <n v="80"/>
    <n v="1"/>
    <n v="26"/>
    <n v="2"/>
    <n v="9"/>
    <n v="8"/>
    <n v="7"/>
    <n v="8"/>
  </r>
  <r>
    <s v="Yes"/>
    <s v="Travel_Rarely"/>
    <x v="3"/>
    <s v="Ex-Employees"/>
    <x v="1"/>
    <x v="4"/>
    <x v="700"/>
    <x v="700"/>
    <x v="1"/>
    <x v="1"/>
    <x v="0"/>
    <s v="No"/>
    <s v="Y"/>
    <n v="4"/>
    <n v="-2"/>
    <n v="0"/>
    <x v="34"/>
    <x v="0"/>
    <n v="1"/>
    <n v="1"/>
    <n v="0"/>
    <n v="289"/>
    <n v="2"/>
    <x v="3"/>
    <n v="1"/>
    <n v="4"/>
    <n v="51"/>
    <n v="3"/>
    <n v="1"/>
    <n v="4"/>
    <n v="2479"/>
    <n v="26227"/>
    <n v="4"/>
    <n v="24"/>
    <n v="4"/>
    <n v="1"/>
    <n v="80"/>
    <n v="0"/>
    <n v="7"/>
    <n v="3"/>
    <n v="1"/>
    <n v="0"/>
    <n v="0"/>
    <n v="0"/>
  </r>
  <r>
    <s v="No"/>
    <s v="Travel_Rarely"/>
    <x v="1"/>
    <s v="Current Employees"/>
    <x v="0"/>
    <x v="2"/>
    <x v="701"/>
    <x v="701"/>
    <x v="1"/>
    <x v="5"/>
    <x v="2"/>
    <s v="No"/>
    <s v="Y"/>
    <n v="3"/>
    <n v="-2"/>
    <n v="0"/>
    <x v="16"/>
    <x v="1"/>
    <m/>
    <n v="0"/>
    <n v="1"/>
    <n v="1376"/>
    <n v="2"/>
    <x v="0"/>
    <n v="1"/>
    <n v="3"/>
    <n v="45"/>
    <n v="3"/>
    <n v="4"/>
    <n v="3"/>
    <n v="14852"/>
    <n v="13938"/>
    <n v="6"/>
    <n v="13"/>
    <n v="3"/>
    <n v="3"/>
    <n v="80"/>
    <n v="1"/>
    <n v="22"/>
    <n v="4"/>
    <n v="17"/>
    <n v="13"/>
    <n v="15"/>
    <n v="2"/>
  </r>
  <r>
    <s v="No"/>
    <s v="Travel_Rarely"/>
    <x v="2"/>
    <s v="Current Employees"/>
    <x v="0"/>
    <x v="1"/>
    <x v="702"/>
    <x v="702"/>
    <x v="1"/>
    <x v="0"/>
    <x v="2"/>
    <s v="No"/>
    <s v="Y"/>
    <n v="2"/>
    <n v="-2"/>
    <n v="0"/>
    <x v="7"/>
    <x v="1"/>
    <m/>
    <n v="0"/>
    <n v="1"/>
    <n v="231"/>
    <n v="8"/>
    <x v="0"/>
    <n v="1"/>
    <n v="3"/>
    <n v="62"/>
    <n v="3"/>
    <n v="3"/>
    <n v="3"/>
    <n v="7264"/>
    <n v="9977"/>
    <n v="5"/>
    <n v="11"/>
    <n v="3"/>
    <n v="1"/>
    <n v="80"/>
    <n v="1"/>
    <n v="10"/>
    <n v="4"/>
    <n v="8"/>
    <n v="4"/>
    <n v="7"/>
    <n v="7"/>
  </r>
  <r>
    <s v="No"/>
    <s v="Non-Travel"/>
    <x v="0"/>
    <s v="Current Employees"/>
    <x v="0"/>
    <x v="4"/>
    <x v="703"/>
    <x v="703"/>
    <x v="0"/>
    <x v="0"/>
    <x v="0"/>
    <s v="Yes"/>
    <s v="Y"/>
    <n v="1"/>
    <n v="-2"/>
    <n v="0"/>
    <x v="8"/>
    <x v="1"/>
    <m/>
    <n v="0"/>
    <n v="1"/>
    <n v="152"/>
    <n v="10"/>
    <x v="3"/>
    <n v="1"/>
    <n v="4"/>
    <n v="85"/>
    <n v="3"/>
    <n v="2"/>
    <n v="4"/>
    <n v="5666"/>
    <n v="19899"/>
    <n v="1"/>
    <n v="13"/>
    <n v="3"/>
    <n v="2"/>
    <n v="80"/>
    <n v="0"/>
    <n v="6"/>
    <n v="3"/>
    <n v="5"/>
    <n v="3"/>
    <n v="1"/>
    <n v="3"/>
  </r>
  <r>
    <s v="No"/>
    <s v="Travel_Rarely"/>
    <x v="0"/>
    <s v="Current Employees"/>
    <x v="0"/>
    <x v="0"/>
    <x v="704"/>
    <x v="704"/>
    <x v="1"/>
    <x v="0"/>
    <x v="2"/>
    <s v="No"/>
    <s v="Y"/>
    <n v="2"/>
    <n v="-2"/>
    <n v="0"/>
    <x v="10"/>
    <x v="1"/>
    <m/>
    <n v="0"/>
    <n v="1"/>
    <n v="882"/>
    <n v="3"/>
    <x v="2"/>
    <n v="1"/>
    <n v="4"/>
    <n v="92"/>
    <n v="3"/>
    <n v="3"/>
    <n v="1"/>
    <n v="7823"/>
    <n v="6812"/>
    <n v="6"/>
    <n v="13"/>
    <n v="3"/>
    <n v="2"/>
    <n v="80"/>
    <n v="1"/>
    <n v="12"/>
    <n v="3"/>
    <n v="10"/>
    <n v="9"/>
    <n v="0"/>
    <n v="8"/>
  </r>
  <r>
    <s v="No"/>
    <s v="Travel_Rarely"/>
    <x v="0"/>
    <s v="Current Employees"/>
    <x v="0"/>
    <x v="0"/>
    <x v="705"/>
    <x v="705"/>
    <x v="1"/>
    <x v="0"/>
    <x v="0"/>
    <s v="No"/>
    <s v="Y"/>
    <n v="3"/>
    <n v="-2"/>
    <n v="0"/>
    <x v="22"/>
    <x v="1"/>
    <m/>
    <n v="0"/>
    <n v="1"/>
    <n v="903"/>
    <n v="2"/>
    <x v="4"/>
    <n v="1"/>
    <n v="1"/>
    <n v="41"/>
    <n v="4"/>
    <n v="3"/>
    <n v="1"/>
    <n v="7880"/>
    <n v="2560"/>
    <n v="0"/>
    <n v="18"/>
    <n v="3"/>
    <n v="4"/>
    <n v="80"/>
    <n v="0"/>
    <n v="9"/>
    <n v="3"/>
    <n v="8"/>
    <n v="7"/>
    <n v="0"/>
    <n v="7"/>
  </r>
  <r>
    <s v="Yes"/>
    <s v="Non-Travel"/>
    <x v="0"/>
    <s v="Ex-Employees"/>
    <x v="0"/>
    <x v="0"/>
    <x v="706"/>
    <x v="706"/>
    <x v="0"/>
    <x v="0"/>
    <x v="0"/>
    <s v="Yes"/>
    <s v="Y"/>
    <n v="2"/>
    <n v="-2"/>
    <n v="0"/>
    <x v="32"/>
    <x v="0"/>
    <n v="1"/>
    <n v="1"/>
    <n v="0"/>
    <n v="1479"/>
    <n v="24"/>
    <x v="3"/>
    <n v="1"/>
    <n v="2"/>
    <n v="100"/>
    <n v="4"/>
    <n v="4"/>
    <n v="1"/>
    <n v="13194"/>
    <n v="17071"/>
    <n v="4"/>
    <n v="16"/>
    <n v="3"/>
    <n v="4"/>
    <n v="80"/>
    <n v="0"/>
    <n v="22"/>
    <n v="2"/>
    <n v="1"/>
    <n v="0"/>
    <n v="0"/>
    <n v="0"/>
  </r>
  <r>
    <s v="No"/>
    <s v="Travel_Frequently"/>
    <x v="1"/>
    <s v="Current Employees"/>
    <x v="1"/>
    <x v="2"/>
    <x v="707"/>
    <x v="707"/>
    <x v="1"/>
    <x v="3"/>
    <x v="2"/>
    <s v="Yes"/>
    <s v="Y"/>
    <n v="3"/>
    <n v="-2"/>
    <n v="0"/>
    <x v="40"/>
    <x v="1"/>
    <m/>
    <n v="0"/>
    <n v="1"/>
    <n v="1379"/>
    <n v="16"/>
    <x v="2"/>
    <n v="1"/>
    <n v="3"/>
    <n v="64"/>
    <n v="4"/>
    <n v="2"/>
    <n v="3"/>
    <n v="5067"/>
    <n v="6759"/>
    <n v="1"/>
    <n v="19"/>
    <n v="3"/>
    <n v="3"/>
    <n v="80"/>
    <n v="0"/>
    <n v="20"/>
    <n v="4"/>
    <n v="19"/>
    <n v="10"/>
    <n v="2"/>
    <n v="7"/>
  </r>
  <r>
    <s v="No"/>
    <s v="Non-Travel"/>
    <x v="0"/>
    <s v="Current Employees"/>
    <x v="0"/>
    <x v="4"/>
    <x v="708"/>
    <x v="708"/>
    <x v="1"/>
    <x v="0"/>
    <x v="2"/>
    <s v="No"/>
    <s v="Y"/>
    <n v="3"/>
    <n v="-2"/>
    <n v="0"/>
    <x v="9"/>
    <x v="1"/>
    <m/>
    <n v="0"/>
    <n v="1"/>
    <n v="1229"/>
    <n v="8"/>
    <x v="2"/>
    <n v="1"/>
    <n v="4"/>
    <n v="84"/>
    <n v="3"/>
    <n v="2"/>
    <n v="4"/>
    <n v="5079"/>
    <n v="25952"/>
    <n v="4"/>
    <n v="13"/>
    <n v="3"/>
    <n v="4"/>
    <n v="80"/>
    <n v="2"/>
    <n v="12"/>
    <n v="3"/>
    <n v="7"/>
    <n v="7"/>
    <n v="0"/>
    <n v="7"/>
  </r>
  <r>
    <s v="Yes"/>
    <s v="Non-Travel"/>
    <x v="2"/>
    <s v="Ex-Employees"/>
    <x v="1"/>
    <x v="2"/>
    <x v="709"/>
    <x v="709"/>
    <x v="1"/>
    <x v="1"/>
    <x v="0"/>
    <s v="Yes"/>
    <s v="Y"/>
    <n v="0"/>
    <n v="-2"/>
    <n v="0"/>
    <x v="12"/>
    <x v="0"/>
    <n v="1"/>
    <n v="1"/>
    <n v="0"/>
    <n v="335"/>
    <n v="9"/>
    <x v="0"/>
    <n v="1"/>
    <n v="3"/>
    <n v="46"/>
    <n v="2"/>
    <n v="1"/>
    <n v="3"/>
    <n v="2321"/>
    <n v="10322"/>
    <n v="0"/>
    <n v="22"/>
    <n v="4"/>
    <n v="1"/>
    <n v="80"/>
    <n v="0"/>
    <n v="4"/>
    <n v="3"/>
    <n v="3"/>
    <n v="2"/>
    <n v="1"/>
    <n v="2"/>
  </r>
  <r>
    <s v="No"/>
    <s v="Non-Travel"/>
    <x v="2"/>
    <s v="Current Employees"/>
    <x v="0"/>
    <x v="0"/>
    <x v="710"/>
    <x v="710"/>
    <x v="1"/>
    <x v="5"/>
    <x v="0"/>
    <s v="No"/>
    <s v="Y"/>
    <n v="2"/>
    <n v="-2"/>
    <n v="0"/>
    <x v="3"/>
    <x v="1"/>
    <m/>
    <n v="0"/>
    <n v="1"/>
    <n v="722"/>
    <n v="17"/>
    <x v="3"/>
    <n v="1"/>
    <n v="4"/>
    <n v="38"/>
    <n v="3"/>
    <n v="4"/>
    <n v="1"/>
    <n v="17444"/>
    <n v="20489"/>
    <n v="1"/>
    <n v="11"/>
    <n v="3"/>
    <n v="4"/>
    <n v="80"/>
    <n v="0"/>
    <n v="10"/>
    <n v="3"/>
    <n v="10"/>
    <n v="8"/>
    <n v="6"/>
    <n v="0"/>
  </r>
  <r>
    <s v="Yes"/>
    <s v="Travel_Rarely"/>
    <x v="2"/>
    <s v="Ex-Employees"/>
    <x v="1"/>
    <x v="0"/>
    <x v="711"/>
    <x v="711"/>
    <x v="0"/>
    <x v="1"/>
    <x v="0"/>
    <s v="Yes"/>
    <s v="Y"/>
    <n v="5"/>
    <n v="-2"/>
    <n v="0"/>
    <x v="11"/>
    <x v="0"/>
    <n v="1"/>
    <n v="1"/>
    <n v="0"/>
    <n v="906"/>
    <n v="10"/>
    <x v="3"/>
    <n v="1"/>
    <n v="4"/>
    <n v="92"/>
    <n v="2"/>
    <n v="1"/>
    <n v="1"/>
    <n v="2404"/>
    <n v="11479"/>
    <n v="6"/>
    <n v="20"/>
    <n v="4"/>
    <n v="3"/>
    <n v="80"/>
    <n v="0"/>
    <n v="3"/>
    <n v="3"/>
    <n v="0"/>
    <n v="0"/>
    <n v="0"/>
    <n v="0"/>
  </r>
  <r>
    <s v="No"/>
    <s v="Travel_Rarely"/>
    <x v="2"/>
    <s v="Current Employees"/>
    <x v="1"/>
    <x v="0"/>
    <x v="712"/>
    <x v="712"/>
    <x v="0"/>
    <x v="1"/>
    <x v="0"/>
    <s v="No"/>
    <s v="Y"/>
    <n v="4"/>
    <n v="-2"/>
    <n v="0"/>
    <x v="3"/>
    <x v="1"/>
    <m/>
    <n v="0"/>
    <n v="1"/>
    <n v="461"/>
    <n v="13"/>
    <x v="1"/>
    <n v="1"/>
    <n v="2"/>
    <n v="53"/>
    <n v="3"/>
    <n v="1"/>
    <n v="1"/>
    <n v="3452"/>
    <n v="17241"/>
    <n v="3"/>
    <n v="18"/>
    <n v="3"/>
    <n v="1"/>
    <n v="80"/>
    <n v="0"/>
    <n v="5"/>
    <n v="3"/>
    <n v="3"/>
    <n v="2"/>
    <n v="0"/>
    <n v="2"/>
  </r>
  <r>
    <s v="No"/>
    <s v="Travel_Rarely"/>
    <x v="1"/>
    <s v="Current Employees"/>
    <x v="1"/>
    <x v="2"/>
    <x v="713"/>
    <x v="713"/>
    <x v="0"/>
    <x v="2"/>
    <x v="2"/>
    <s v="No"/>
    <s v="Y"/>
    <n v="2"/>
    <n v="-2"/>
    <n v="0"/>
    <x v="28"/>
    <x v="1"/>
    <m/>
    <n v="0"/>
    <n v="1"/>
    <n v="974"/>
    <n v="1"/>
    <x v="2"/>
    <n v="1"/>
    <n v="4"/>
    <n v="91"/>
    <n v="3"/>
    <n v="1"/>
    <n v="4"/>
    <n v="2270"/>
    <n v="11005"/>
    <n v="3"/>
    <n v="14"/>
    <n v="3"/>
    <n v="4"/>
    <n v="80"/>
    <n v="2"/>
    <n v="8"/>
    <n v="3"/>
    <n v="5"/>
    <n v="3"/>
    <n v="0"/>
    <n v="2"/>
  </r>
  <r>
    <s v="No"/>
    <s v="Travel_Rarely"/>
    <x v="1"/>
    <s v="Current Employees"/>
    <x v="1"/>
    <x v="2"/>
    <x v="714"/>
    <x v="714"/>
    <x v="1"/>
    <x v="7"/>
    <x v="2"/>
    <s v="No"/>
    <s v="Y"/>
    <n v="1"/>
    <n v="-2"/>
    <n v="0"/>
    <x v="24"/>
    <x v="1"/>
    <m/>
    <n v="0"/>
    <n v="1"/>
    <n v="1126"/>
    <n v="1"/>
    <x v="0"/>
    <n v="1"/>
    <n v="4"/>
    <n v="66"/>
    <n v="3"/>
    <n v="4"/>
    <n v="4"/>
    <n v="17399"/>
    <n v="6615"/>
    <n v="9"/>
    <n v="22"/>
    <n v="4"/>
    <n v="3"/>
    <n v="80"/>
    <n v="1"/>
    <n v="32"/>
    <n v="2"/>
    <n v="5"/>
    <n v="4"/>
    <n v="1"/>
    <n v="3"/>
  </r>
  <r>
    <s v="No"/>
    <s v="Travel_Frequently"/>
    <x v="2"/>
    <s v="Current Employees"/>
    <x v="1"/>
    <x v="1"/>
    <x v="715"/>
    <x v="715"/>
    <x v="0"/>
    <x v="4"/>
    <x v="1"/>
    <s v="Yes"/>
    <s v="Y"/>
    <n v="2"/>
    <n v="-2"/>
    <n v="0"/>
    <x v="3"/>
    <x v="1"/>
    <m/>
    <n v="0"/>
    <n v="1"/>
    <n v="827"/>
    <n v="1"/>
    <x v="2"/>
    <n v="1"/>
    <n v="3"/>
    <n v="84"/>
    <n v="4"/>
    <n v="2"/>
    <n v="3"/>
    <n v="5488"/>
    <n v="20161"/>
    <n v="1"/>
    <n v="13"/>
    <n v="3"/>
    <n v="1"/>
    <n v="80"/>
    <n v="1"/>
    <n v="6"/>
    <n v="3"/>
    <n v="6"/>
    <n v="5"/>
    <n v="1"/>
    <n v="2"/>
  </r>
  <r>
    <s v="No"/>
    <s v="Travel_Frequently"/>
    <x v="0"/>
    <s v="Current Employees"/>
    <x v="1"/>
    <x v="2"/>
    <x v="716"/>
    <x v="716"/>
    <x v="1"/>
    <x v="7"/>
    <x v="2"/>
    <s v="No"/>
    <s v="Y"/>
    <n v="2"/>
    <n v="-2"/>
    <n v="0"/>
    <x v="0"/>
    <x v="1"/>
    <m/>
    <n v="0"/>
    <n v="1"/>
    <n v="840"/>
    <n v="9"/>
    <x v="3"/>
    <n v="1"/>
    <n v="1"/>
    <n v="64"/>
    <n v="3"/>
    <n v="5"/>
    <n v="3"/>
    <n v="19419"/>
    <n v="3735"/>
    <n v="2"/>
    <n v="17"/>
    <n v="3"/>
    <n v="2"/>
    <n v="80"/>
    <n v="1"/>
    <n v="21"/>
    <n v="4"/>
    <n v="18"/>
    <n v="16"/>
    <n v="0"/>
    <n v="11"/>
  </r>
  <r>
    <s v="No"/>
    <s v="Travel_Rarely"/>
    <x v="2"/>
    <s v="Current Employees"/>
    <x v="1"/>
    <x v="4"/>
    <x v="717"/>
    <x v="717"/>
    <x v="0"/>
    <x v="2"/>
    <x v="1"/>
    <s v="No"/>
    <s v="Y"/>
    <n v="2"/>
    <n v="-2"/>
    <n v="0"/>
    <x v="4"/>
    <x v="1"/>
    <m/>
    <n v="0"/>
    <n v="1"/>
    <n v="1134"/>
    <n v="16"/>
    <x v="2"/>
    <n v="1"/>
    <n v="4"/>
    <n v="37"/>
    <n v="3"/>
    <n v="1"/>
    <n v="4"/>
    <n v="2811"/>
    <n v="12086"/>
    <n v="9"/>
    <n v="14"/>
    <n v="3"/>
    <n v="2"/>
    <n v="80"/>
    <n v="1"/>
    <n v="4"/>
    <n v="3"/>
    <n v="2"/>
    <n v="2"/>
    <n v="2"/>
    <n v="2"/>
  </r>
  <r>
    <s v="No"/>
    <s v="Non-Travel"/>
    <x v="1"/>
    <s v="Current Employees"/>
    <x v="1"/>
    <x v="0"/>
    <x v="718"/>
    <x v="718"/>
    <x v="1"/>
    <x v="2"/>
    <x v="1"/>
    <s v="Yes"/>
    <s v="Y"/>
    <n v="2"/>
    <n v="-2"/>
    <n v="0"/>
    <x v="28"/>
    <x v="1"/>
    <m/>
    <n v="0"/>
    <n v="1"/>
    <n v="248"/>
    <n v="23"/>
    <x v="0"/>
    <n v="1"/>
    <n v="4"/>
    <n v="42"/>
    <n v="3"/>
    <n v="2"/>
    <n v="1"/>
    <n v="3633"/>
    <n v="14039"/>
    <n v="1"/>
    <n v="15"/>
    <n v="3"/>
    <n v="3"/>
    <n v="80"/>
    <n v="1"/>
    <n v="9"/>
    <n v="3"/>
    <n v="9"/>
    <n v="8"/>
    <n v="0"/>
    <n v="8"/>
  </r>
  <r>
    <s v="No"/>
    <s v="Travel_Rarely"/>
    <x v="1"/>
    <s v="Current Employees"/>
    <x v="0"/>
    <x v="0"/>
    <x v="719"/>
    <x v="719"/>
    <x v="0"/>
    <x v="0"/>
    <x v="0"/>
    <s v="Yes"/>
    <s v="Y"/>
    <n v="0"/>
    <n v="-2"/>
    <n v="0"/>
    <x v="40"/>
    <x v="1"/>
    <m/>
    <n v="0"/>
    <n v="1"/>
    <n v="955"/>
    <n v="4"/>
    <x v="0"/>
    <n v="1"/>
    <n v="4"/>
    <n v="83"/>
    <n v="3"/>
    <n v="2"/>
    <n v="1"/>
    <n v="4163"/>
    <n v="8571"/>
    <n v="1"/>
    <n v="17"/>
    <n v="3"/>
    <n v="3"/>
    <n v="80"/>
    <n v="0"/>
    <n v="9"/>
    <n v="3"/>
    <n v="9"/>
    <n v="0"/>
    <n v="0"/>
    <n v="7"/>
  </r>
  <r>
    <s v="Yes"/>
    <s v="Travel_Rarely"/>
    <x v="2"/>
    <s v="Ex-Employees"/>
    <x v="1"/>
    <x v="0"/>
    <x v="720"/>
    <x v="720"/>
    <x v="0"/>
    <x v="1"/>
    <x v="1"/>
    <s v="Yes"/>
    <s v="Y"/>
    <n v="2"/>
    <n v="-2"/>
    <n v="0"/>
    <x v="7"/>
    <x v="0"/>
    <n v="1"/>
    <n v="1"/>
    <n v="0"/>
    <n v="138"/>
    <n v="22"/>
    <x v="3"/>
    <n v="1"/>
    <n v="1"/>
    <n v="48"/>
    <n v="3"/>
    <n v="1"/>
    <n v="1"/>
    <n v="2132"/>
    <n v="11539"/>
    <n v="4"/>
    <n v="11"/>
    <n v="3"/>
    <n v="2"/>
    <n v="80"/>
    <n v="0"/>
    <n v="7"/>
    <n v="3"/>
    <n v="5"/>
    <n v="2"/>
    <n v="0"/>
    <n v="1"/>
  </r>
  <r>
    <s v="No"/>
    <s v="Travel_Rarely"/>
    <x v="1"/>
    <s v="Current Employees"/>
    <x v="1"/>
    <x v="0"/>
    <x v="721"/>
    <x v="721"/>
    <x v="1"/>
    <x v="3"/>
    <x v="1"/>
    <s v="Yes"/>
    <s v="Y"/>
    <n v="2"/>
    <n v="-2"/>
    <n v="0"/>
    <x v="24"/>
    <x v="1"/>
    <m/>
    <n v="0"/>
    <n v="1"/>
    <n v="939"/>
    <n v="24"/>
    <x v="3"/>
    <n v="1"/>
    <n v="4"/>
    <n v="95"/>
    <n v="3"/>
    <n v="4"/>
    <n v="1"/>
    <n v="13973"/>
    <n v="4161"/>
    <n v="3"/>
    <n v="18"/>
    <n v="3"/>
    <n v="4"/>
    <n v="80"/>
    <n v="1"/>
    <n v="22"/>
    <n v="3"/>
    <n v="12"/>
    <n v="11"/>
    <n v="1"/>
    <n v="5"/>
  </r>
  <r>
    <s v="No"/>
    <s v="Travel_Frequently"/>
    <x v="0"/>
    <s v="Current Employees"/>
    <x v="1"/>
    <x v="2"/>
    <x v="722"/>
    <x v="722"/>
    <x v="1"/>
    <x v="1"/>
    <x v="1"/>
    <s v="No"/>
    <s v="Y"/>
    <n v="0"/>
    <n v="-2"/>
    <n v="0"/>
    <x v="8"/>
    <x v="1"/>
    <m/>
    <n v="0"/>
    <n v="1"/>
    <n v="1391"/>
    <n v="10"/>
    <x v="1"/>
    <n v="1"/>
    <n v="3"/>
    <n v="66"/>
    <n v="3"/>
    <n v="1"/>
    <n v="3"/>
    <n v="2684"/>
    <n v="12127"/>
    <n v="0"/>
    <n v="17"/>
    <n v="3"/>
    <n v="2"/>
    <n v="80"/>
    <n v="1"/>
    <n v="3"/>
    <n v="2"/>
    <n v="2"/>
    <n v="1"/>
    <n v="0"/>
    <n v="2"/>
  </r>
  <r>
    <s v="No"/>
    <s v="Travel_Rarely"/>
    <x v="1"/>
    <s v="Current Employees"/>
    <x v="1"/>
    <x v="2"/>
    <x v="723"/>
    <x v="723"/>
    <x v="1"/>
    <x v="3"/>
    <x v="2"/>
    <s v="No"/>
    <s v="Y"/>
    <n v="3"/>
    <n v="-2"/>
    <n v="0"/>
    <x v="21"/>
    <x v="1"/>
    <m/>
    <n v="0"/>
    <n v="1"/>
    <n v="566"/>
    <n v="7"/>
    <x v="0"/>
    <n v="1"/>
    <n v="4"/>
    <n v="75"/>
    <n v="3"/>
    <n v="3"/>
    <n v="3"/>
    <n v="10845"/>
    <n v="24208"/>
    <n v="6"/>
    <n v="13"/>
    <n v="3"/>
    <n v="2"/>
    <n v="80"/>
    <n v="1"/>
    <n v="13"/>
    <n v="3"/>
    <n v="8"/>
    <n v="7"/>
    <n v="0"/>
    <n v="7"/>
  </r>
  <r>
    <s v="No"/>
    <s v="Travel_Rarely"/>
    <x v="4"/>
    <s v="Current Employees"/>
    <x v="1"/>
    <x v="2"/>
    <x v="724"/>
    <x v="724"/>
    <x v="0"/>
    <x v="3"/>
    <x v="2"/>
    <s v="No"/>
    <s v="Y"/>
    <n v="6"/>
    <n v="-2"/>
    <n v="0"/>
    <x v="17"/>
    <x v="1"/>
    <m/>
    <n v="0"/>
    <n v="1"/>
    <n v="1206"/>
    <n v="17"/>
    <x v="1"/>
    <n v="1"/>
    <n v="4"/>
    <n v="41"/>
    <n v="2"/>
    <n v="2"/>
    <n v="3"/>
    <n v="4377"/>
    <n v="24117"/>
    <n v="1"/>
    <n v="15"/>
    <n v="3"/>
    <n v="2"/>
    <n v="80"/>
    <n v="2"/>
    <n v="5"/>
    <n v="3"/>
    <n v="4"/>
    <n v="2"/>
    <n v="3"/>
    <n v="2"/>
  </r>
  <r>
    <s v="Yes"/>
    <s v="Travel_Rarely"/>
    <x v="0"/>
    <s v="Ex-Employees"/>
    <x v="1"/>
    <x v="1"/>
    <x v="725"/>
    <x v="725"/>
    <x v="1"/>
    <x v="2"/>
    <x v="2"/>
    <s v="Yes"/>
    <s v="Y"/>
    <n v="2"/>
    <n v="-2"/>
    <n v="0"/>
    <x v="10"/>
    <x v="0"/>
    <n v="1"/>
    <n v="1"/>
    <n v="0"/>
    <n v="622"/>
    <n v="14"/>
    <x v="2"/>
    <n v="1"/>
    <n v="3"/>
    <n v="39"/>
    <n v="2"/>
    <n v="1"/>
    <n v="3"/>
    <n v="3743"/>
    <n v="10074"/>
    <n v="1"/>
    <n v="24"/>
    <n v="4"/>
    <n v="4"/>
    <n v="80"/>
    <n v="1"/>
    <n v="5"/>
    <n v="1"/>
    <n v="4"/>
    <n v="2"/>
    <n v="0"/>
    <n v="2"/>
  </r>
  <r>
    <s v="No"/>
    <s v="Travel_Frequently"/>
    <x v="2"/>
    <s v="Current Employees"/>
    <x v="1"/>
    <x v="0"/>
    <x v="726"/>
    <x v="726"/>
    <x v="0"/>
    <x v="3"/>
    <x v="1"/>
    <s v="No"/>
    <s v="Y"/>
    <n v="1"/>
    <n v="-2"/>
    <n v="0"/>
    <x v="12"/>
    <x v="1"/>
    <m/>
    <n v="0"/>
    <n v="1"/>
    <n v="853"/>
    <n v="1"/>
    <x v="1"/>
    <n v="1"/>
    <n v="3"/>
    <n v="96"/>
    <n v="3"/>
    <n v="2"/>
    <n v="1"/>
    <n v="4148"/>
    <n v="11275"/>
    <n v="1"/>
    <n v="12"/>
    <n v="3"/>
    <n v="3"/>
    <n v="80"/>
    <n v="1"/>
    <n v="4"/>
    <n v="3"/>
    <n v="4"/>
    <n v="3"/>
    <n v="0"/>
    <n v="3"/>
  </r>
  <r>
    <s v="No"/>
    <s v="Non-Travel"/>
    <x v="4"/>
    <s v="Current Employees"/>
    <x v="1"/>
    <x v="0"/>
    <x v="727"/>
    <x v="727"/>
    <x v="1"/>
    <x v="1"/>
    <x v="0"/>
    <s v="No"/>
    <s v="Y"/>
    <n v="2"/>
    <n v="-2"/>
    <n v="0"/>
    <x v="41"/>
    <x v="1"/>
    <m/>
    <n v="0"/>
    <n v="1"/>
    <n v="287"/>
    <n v="5"/>
    <x v="0"/>
    <n v="1"/>
    <n v="2"/>
    <n v="73"/>
    <n v="3"/>
    <n v="1"/>
    <n v="1"/>
    <n v="1051"/>
    <n v="13493"/>
    <n v="1"/>
    <n v="15"/>
    <n v="3"/>
    <n v="4"/>
    <n v="80"/>
    <n v="0"/>
    <n v="0"/>
    <n v="3"/>
    <n v="0"/>
    <n v="0"/>
    <n v="0"/>
    <n v="0"/>
  </r>
  <r>
    <s v="No"/>
    <s v="Travel_Rarely"/>
    <x v="1"/>
    <s v="Current Employees"/>
    <x v="1"/>
    <x v="4"/>
    <x v="728"/>
    <x v="728"/>
    <x v="0"/>
    <x v="3"/>
    <x v="1"/>
    <s v="No"/>
    <s v="Y"/>
    <n v="2"/>
    <n v="-2"/>
    <n v="0"/>
    <x v="33"/>
    <x v="1"/>
    <m/>
    <n v="0"/>
    <n v="1"/>
    <n v="1441"/>
    <n v="17"/>
    <x v="3"/>
    <n v="1"/>
    <n v="4"/>
    <n v="56"/>
    <n v="3"/>
    <n v="3"/>
    <n v="4"/>
    <n v="10739"/>
    <n v="13943"/>
    <n v="8"/>
    <n v="11"/>
    <n v="3"/>
    <n v="3"/>
    <n v="80"/>
    <n v="1"/>
    <n v="22"/>
    <n v="3"/>
    <n v="10"/>
    <n v="7"/>
    <n v="0"/>
    <n v="8"/>
  </r>
  <r>
    <s v="No"/>
    <s v="Travel_Rarely"/>
    <x v="0"/>
    <s v="Current Employees"/>
    <x v="1"/>
    <x v="2"/>
    <x v="729"/>
    <x v="729"/>
    <x v="0"/>
    <x v="4"/>
    <x v="2"/>
    <s v="Yes"/>
    <s v="Y"/>
    <n v="3"/>
    <n v="-2"/>
    <n v="0"/>
    <x v="10"/>
    <x v="1"/>
    <m/>
    <n v="0"/>
    <n v="1"/>
    <n v="583"/>
    <n v="25"/>
    <x v="2"/>
    <n v="1"/>
    <n v="3"/>
    <n v="57"/>
    <n v="3"/>
    <n v="3"/>
    <n v="3"/>
    <n v="10388"/>
    <n v="6975"/>
    <n v="1"/>
    <n v="11"/>
    <n v="3"/>
    <n v="3"/>
    <n v="80"/>
    <n v="1"/>
    <n v="16"/>
    <n v="2"/>
    <n v="16"/>
    <n v="10"/>
    <n v="10"/>
    <n v="1"/>
  </r>
  <r>
    <s v="No"/>
    <s v="Travel_Rarely"/>
    <x v="2"/>
    <s v="Current Employees"/>
    <x v="1"/>
    <x v="0"/>
    <x v="730"/>
    <x v="730"/>
    <x v="0"/>
    <x v="7"/>
    <x v="1"/>
    <s v="Yes"/>
    <s v="Y"/>
    <n v="4"/>
    <n v="-2"/>
    <n v="0"/>
    <x v="7"/>
    <x v="1"/>
    <m/>
    <n v="0"/>
    <n v="1"/>
    <n v="153"/>
    <n v="8"/>
    <x v="0"/>
    <n v="1"/>
    <n v="2"/>
    <n v="73"/>
    <n v="4"/>
    <n v="3"/>
    <n v="1"/>
    <n v="11416"/>
    <n v="17802"/>
    <n v="0"/>
    <n v="12"/>
    <n v="3"/>
    <n v="3"/>
    <n v="80"/>
    <n v="3"/>
    <n v="9"/>
    <n v="2"/>
    <n v="8"/>
    <n v="7"/>
    <n v="1"/>
    <n v="7"/>
  </r>
  <r>
    <s v="Yes"/>
    <s v="Travel_Rarely"/>
    <x v="4"/>
    <s v="Ex-Employees"/>
    <x v="1"/>
    <x v="2"/>
    <x v="731"/>
    <x v="731"/>
    <x v="0"/>
    <x v="1"/>
    <x v="0"/>
    <s v="Yes"/>
    <s v="Y"/>
    <n v="2"/>
    <n v="-2"/>
    <n v="0"/>
    <x v="35"/>
    <x v="0"/>
    <n v="1"/>
    <n v="1"/>
    <n v="0"/>
    <n v="1097"/>
    <n v="11"/>
    <x v="3"/>
    <n v="1"/>
    <n v="4"/>
    <n v="98"/>
    <n v="2"/>
    <n v="1"/>
    <n v="3"/>
    <n v="2600"/>
    <n v="18275"/>
    <n v="1"/>
    <n v="15"/>
    <n v="3"/>
    <n v="1"/>
    <n v="80"/>
    <n v="0"/>
    <n v="1"/>
    <n v="3"/>
    <n v="1"/>
    <n v="0"/>
    <n v="0"/>
    <n v="0"/>
  </r>
  <r>
    <s v="Yes"/>
    <s v="Travel_Frequently"/>
    <x v="2"/>
    <s v="Ex-Employees"/>
    <x v="1"/>
    <x v="2"/>
    <x v="732"/>
    <x v="732"/>
    <x v="0"/>
    <x v="2"/>
    <x v="0"/>
    <s v="No"/>
    <s v="Y"/>
    <n v="3"/>
    <n v="-2"/>
    <n v="0"/>
    <x v="7"/>
    <x v="0"/>
    <n v="1"/>
    <n v="1"/>
    <n v="0"/>
    <n v="109"/>
    <n v="5"/>
    <x v="3"/>
    <n v="1"/>
    <n v="2"/>
    <n v="60"/>
    <n v="3"/>
    <n v="1"/>
    <n v="3"/>
    <n v="2422"/>
    <n v="25725"/>
    <n v="0"/>
    <n v="17"/>
    <n v="3"/>
    <n v="1"/>
    <n v="80"/>
    <n v="0"/>
    <n v="4"/>
    <n v="3"/>
    <n v="3"/>
    <n v="2"/>
    <n v="1"/>
    <n v="2"/>
  </r>
  <r>
    <s v="No"/>
    <s v="Travel_Rarely"/>
    <x v="2"/>
    <s v="Current Employees"/>
    <x v="1"/>
    <x v="2"/>
    <x v="733"/>
    <x v="733"/>
    <x v="1"/>
    <x v="3"/>
    <x v="1"/>
    <s v="No"/>
    <s v="Y"/>
    <n v="2"/>
    <n v="-2"/>
    <n v="0"/>
    <x v="25"/>
    <x v="1"/>
    <m/>
    <n v="0"/>
    <n v="1"/>
    <n v="1066"/>
    <n v="2"/>
    <x v="0"/>
    <n v="1"/>
    <n v="4"/>
    <n v="32"/>
    <n v="4"/>
    <n v="2"/>
    <n v="4"/>
    <n v="5472"/>
    <n v="3334"/>
    <n v="1"/>
    <n v="12"/>
    <n v="3"/>
    <n v="2"/>
    <n v="80"/>
    <n v="0"/>
    <n v="8"/>
    <n v="3"/>
    <n v="8"/>
    <n v="7"/>
    <n v="1"/>
    <n v="3"/>
  </r>
  <r>
    <s v="No"/>
    <s v="Travel_Rarely"/>
    <x v="4"/>
    <s v="Current Employees"/>
    <x v="1"/>
    <x v="0"/>
    <x v="734"/>
    <x v="734"/>
    <x v="1"/>
    <x v="2"/>
    <x v="1"/>
    <s v="No"/>
    <s v="Y"/>
    <n v="3"/>
    <n v="-2"/>
    <n v="0"/>
    <x v="15"/>
    <x v="1"/>
    <m/>
    <n v="0"/>
    <n v="1"/>
    <n v="217"/>
    <n v="8"/>
    <x v="1"/>
    <n v="1"/>
    <n v="2"/>
    <n v="94"/>
    <n v="1"/>
    <n v="1"/>
    <n v="1"/>
    <n v="2451"/>
    <n v="6881"/>
    <n v="1"/>
    <n v="15"/>
    <n v="3"/>
    <n v="1"/>
    <n v="80"/>
    <n v="1"/>
    <n v="4"/>
    <n v="2"/>
    <n v="4"/>
    <n v="3"/>
    <n v="1"/>
    <n v="1"/>
  </r>
  <r>
    <s v="No"/>
    <s v="Travel_Rarely"/>
    <x v="1"/>
    <s v="Current Employees"/>
    <x v="1"/>
    <x v="0"/>
    <x v="735"/>
    <x v="735"/>
    <x v="1"/>
    <x v="4"/>
    <x v="0"/>
    <s v="No"/>
    <s v="Y"/>
    <n v="0"/>
    <n v="-2"/>
    <n v="0"/>
    <x v="26"/>
    <x v="1"/>
    <m/>
    <n v="0"/>
    <n v="1"/>
    <n v="277"/>
    <n v="6"/>
    <x v="3"/>
    <n v="1"/>
    <n v="1"/>
    <n v="97"/>
    <n v="2"/>
    <n v="2"/>
    <n v="1"/>
    <n v="4240"/>
    <n v="13119"/>
    <n v="2"/>
    <n v="13"/>
    <n v="3"/>
    <n v="4"/>
    <n v="80"/>
    <n v="0"/>
    <n v="19"/>
    <n v="3"/>
    <n v="2"/>
    <n v="2"/>
    <n v="2"/>
    <n v="2"/>
  </r>
  <r>
    <s v="No"/>
    <s v="Travel_Rarely"/>
    <x v="1"/>
    <s v="Current Employees"/>
    <x v="1"/>
    <x v="0"/>
    <x v="736"/>
    <x v="736"/>
    <x v="1"/>
    <x v="4"/>
    <x v="0"/>
    <s v="No"/>
    <s v="Y"/>
    <n v="3"/>
    <n v="-2"/>
    <n v="0"/>
    <x v="26"/>
    <x v="1"/>
    <m/>
    <n v="0"/>
    <n v="1"/>
    <n v="1355"/>
    <n v="4"/>
    <x v="2"/>
    <n v="1"/>
    <n v="3"/>
    <n v="78"/>
    <n v="2"/>
    <n v="3"/>
    <n v="1"/>
    <n v="10999"/>
    <n v="22245"/>
    <n v="7"/>
    <n v="14"/>
    <n v="3"/>
    <n v="2"/>
    <n v="80"/>
    <n v="0"/>
    <n v="27"/>
    <n v="3"/>
    <n v="15"/>
    <n v="11"/>
    <n v="4"/>
    <n v="8"/>
  </r>
  <r>
    <s v="No"/>
    <s v="Travel_Rarely"/>
    <x v="0"/>
    <s v="Current Employees"/>
    <x v="1"/>
    <x v="2"/>
    <x v="737"/>
    <x v="737"/>
    <x v="0"/>
    <x v="3"/>
    <x v="0"/>
    <s v="No"/>
    <s v="Y"/>
    <n v="6"/>
    <n v="-2"/>
    <n v="0"/>
    <x v="0"/>
    <x v="1"/>
    <m/>
    <n v="0"/>
    <n v="1"/>
    <n v="549"/>
    <n v="7"/>
    <x v="0"/>
    <n v="1"/>
    <n v="4"/>
    <n v="42"/>
    <n v="3"/>
    <n v="2"/>
    <n v="3"/>
    <n v="5003"/>
    <n v="23371"/>
    <n v="6"/>
    <n v="14"/>
    <n v="3"/>
    <n v="2"/>
    <n v="80"/>
    <n v="0"/>
    <n v="8"/>
    <n v="3"/>
    <n v="2"/>
    <n v="2"/>
    <n v="2"/>
    <n v="1"/>
  </r>
  <r>
    <s v="No"/>
    <s v="Travel_Rarely"/>
    <x v="0"/>
    <s v="Current Employees"/>
    <x v="1"/>
    <x v="0"/>
    <x v="738"/>
    <x v="738"/>
    <x v="0"/>
    <x v="3"/>
    <x v="1"/>
    <s v="No"/>
    <s v="Y"/>
    <n v="3"/>
    <n v="-2"/>
    <n v="0"/>
    <x v="22"/>
    <x v="1"/>
    <m/>
    <n v="0"/>
    <n v="1"/>
    <n v="466"/>
    <n v="1"/>
    <x v="1"/>
    <n v="1"/>
    <n v="4"/>
    <n v="65"/>
    <n v="2"/>
    <n v="4"/>
    <n v="1"/>
    <n v="12742"/>
    <n v="7060"/>
    <n v="1"/>
    <n v="16"/>
    <n v="3"/>
    <n v="3"/>
    <n v="80"/>
    <n v="1"/>
    <n v="21"/>
    <n v="3"/>
    <n v="21"/>
    <n v="6"/>
    <n v="11"/>
    <n v="8"/>
  </r>
  <r>
    <s v="No"/>
    <s v="Travel_Rarely"/>
    <x v="2"/>
    <s v="Current Employees"/>
    <x v="1"/>
    <x v="0"/>
    <x v="739"/>
    <x v="739"/>
    <x v="0"/>
    <x v="3"/>
    <x v="1"/>
    <s v="No"/>
    <s v="Y"/>
    <n v="2"/>
    <n v="-2"/>
    <n v="0"/>
    <x v="4"/>
    <x v="1"/>
    <m/>
    <n v="0"/>
    <n v="1"/>
    <n v="1055"/>
    <n v="2"/>
    <x v="2"/>
    <n v="1"/>
    <n v="1"/>
    <n v="47"/>
    <n v="3"/>
    <n v="2"/>
    <n v="1"/>
    <n v="4227"/>
    <n v="4658"/>
    <n v="0"/>
    <n v="18"/>
    <n v="3"/>
    <n v="2"/>
    <n v="80"/>
    <n v="1"/>
    <n v="4"/>
    <n v="3"/>
    <n v="3"/>
    <n v="2"/>
    <n v="2"/>
    <n v="2"/>
  </r>
  <r>
    <s v="No"/>
    <s v="Travel_Rarely"/>
    <x v="0"/>
    <s v="Current Employees"/>
    <x v="1"/>
    <x v="1"/>
    <x v="740"/>
    <x v="740"/>
    <x v="1"/>
    <x v="2"/>
    <x v="2"/>
    <s v="No"/>
    <s v="Y"/>
    <n v="4"/>
    <n v="-2"/>
    <n v="0"/>
    <x v="10"/>
    <x v="1"/>
    <m/>
    <n v="0"/>
    <n v="1"/>
    <n v="802"/>
    <n v="10"/>
    <x v="3"/>
    <n v="1"/>
    <n v="2"/>
    <n v="45"/>
    <n v="3"/>
    <n v="1"/>
    <n v="4"/>
    <n v="3917"/>
    <n v="9541"/>
    <n v="1"/>
    <n v="20"/>
    <n v="4"/>
    <n v="1"/>
    <n v="80"/>
    <n v="1"/>
    <n v="3"/>
    <n v="2"/>
    <n v="3"/>
    <n v="2"/>
    <n v="1"/>
    <n v="2"/>
  </r>
  <r>
    <s v="No"/>
    <s v="Travel_Rarely"/>
    <x v="0"/>
    <s v="Current Employees"/>
    <x v="0"/>
    <x v="3"/>
    <x v="741"/>
    <x v="741"/>
    <x v="1"/>
    <x v="5"/>
    <x v="1"/>
    <s v="No"/>
    <s v="Y"/>
    <n v="3"/>
    <n v="-2"/>
    <n v="0"/>
    <x v="19"/>
    <x v="1"/>
    <m/>
    <n v="0"/>
    <n v="1"/>
    <n v="265"/>
    <n v="5"/>
    <x v="0"/>
    <n v="1"/>
    <n v="4"/>
    <n v="90"/>
    <n v="3"/>
    <n v="5"/>
    <n v="2"/>
    <n v="18303"/>
    <n v="7770"/>
    <n v="6"/>
    <n v="13"/>
    <n v="3"/>
    <n v="2"/>
    <n v="80"/>
    <n v="0"/>
    <n v="21"/>
    <n v="4"/>
    <n v="1"/>
    <n v="0"/>
    <n v="0"/>
    <n v="0"/>
  </r>
  <r>
    <s v="No"/>
    <s v="Travel_Rarely"/>
    <x v="1"/>
    <s v="Current Employees"/>
    <x v="1"/>
    <x v="0"/>
    <x v="742"/>
    <x v="742"/>
    <x v="1"/>
    <x v="2"/>
    <x v="1"/>
    <s v="No"/>
    <s v="Y"/>
    <n v="5"/>
    <n v="-2"/>
    <n v="0"/>
    <x v="24"/>
    <x v="1"/>
    <m/>
    <n v="0"/>
    <n v="1"/>
    <n v="804"/>
    <n v="9"/>
    <x v="3"/>
    <n v="1"/>
    <n v="1"/>
    <n v="64"/>
    <n v="3"/>
    <n v="1"/>
    <n v="1"/>
    <n v="2380"/>
    <n v="20165"/>
    <n v="4"/>
    <n v="18"/>
    <n v="3"/>
    <n v="2"/>
    <n v="80"/>
    <n v="0"/>
    <n v="8"/>
    <n v="3"/>
    <n v="1"/>
    <n v="0"/>
    <n v="0"/>
    <n v="0"/>
  </r>
  <r>
    <s v="No"/>
    <s v="Travel_Rarely"/>
    <x v="3"/>
    <s v="Current Employees"/>
    <x v="1"/>
    <x v="0"/>
    <x v="743"/>
    <x v="743"/>
    <x v="0"/>
    <x v="3"/>
    <x v="0"/>
    <s v="Yes"/>
    <s v="Y"/>
    <n v="4"/>
    <n v="-2"/>
    <n v="0"/>
    <x v="6"/>
    <x v="1"/>
    <m/>
    <n v="0"/>
    <n v="1"/>
    <n v="715"/>
    <n v="2"/>
    <x v="3"/>
    <n v="1"/>
    <n v="3"/>
    <n v="69"/>
    <n v="2"/>
    <n v="4"/>
    <n v="1"/>
    <n v="13726"/>
    <n v="21829"/>
    <n v="3"/>
    <n v="13"/>
    <n v="3"/>
    <n v="1"/>
    <n v="80"/>
    <n v="0"/>
    <n v="30"/>
    <n v="3"/>
    <n v="5"/>
    <n v="3"/>
    <n v="4"/>
    <n v="3"/>
  </r>
  <r>
    <s v="Yes"/>
    <s v="Travel_Rarely"/>
    <x v="0"/>
    <s v="Ex-Employees"/>
    <x v="1"/>
    <x v="2"/>
    <x v="744"/>
    <x v="744"/>
    <x v="0"/>
    <x v="4"/>
    <x v="1"/>
    <s v="No"/>
    <s v="Y"/>
    <n v="2"/>
    <n v="-2"/>
    <n v="0"/>
    <x v="2"/>
    <x v="0"/>
    <n v="1"/>
    <n v="1"/>
    <n v="0"/>
    <n v="1141"/>
    <n v="11"/>
    <x v="0"/>
    <n v="1"/>
    <n v="1"/>
    <n v="61"/>
    <n v="1"/>
    <n v="2"/>
    <n v="3"/>
    <n v="4777"/>
    <n v="14382"/>
    <n v="5"/>
    <n v="15"/>
    <n v="3"/>
    <n v="1"/>
    <n v="80"/>
    <n v="0"/>
    <n v="15"/>
    <n v="1"/>
    <n v="1"/>
    <n v="0"/>
    <n v="0"/>
    <n v="0"/>
  </r>
  <r>
    <s v="No"/>
    <s v="Travel_Frequently"/>
    <x v="3"/>
    <s v="Current Employees"/>
    <x v="1"/>
    <x v="2"/>
    <x v="745"/>
    <x v="745"/>
    <x v="1"/>
    <x v="4"/>
    <x v="1"/>
    <s v="Yes"/>
    <s v="Y"/>
    <n v="3"/>
    <n v="-2"/>
    <n v="0"/>
    <x v="27"/>
    <x v="1"/>
    <m/>
    <n v="0"/>
    <n v="1"/>
    <n v="135"/>
    <n v="18"/>
    <x v="2"/>
    <n v="1"/>
    <n v="3"/>
    <n v="62"/>
    <n v="3"/>
    <n v="2"/>
    <n v="3"/>
    <n v="6385"/>
    <n v="12992"/>
    <n v="3"/>
    <n v="14"/>
    <n v="3"/>
    <n v="4"/>
    <n v="80"/>
    <n v="2"/>
    <n v="17"/>
    <n v="3"/>
    <n v="8"/>
    <n v="7"/>
    <n v="6"/>
    <n v="7"/>
  </r>
  <r>
    <s v="No"/>
    <s v="Non-Travel"/>
    <x v="0"/>
    <s v="Current Employees"/>
    <x v="1"/>
    <x v="0"/>
    <x v="746"/>
    <x v="746"/>
    <x v="0"/>
    <x v="7"/>
    <x v="2"/>
    <s v="No"/>
    <s v="Y"/>
    <n v="3"/>
    <n v="-2"/>
    <n v="0"/>
    <x v="0"/>
    <x v="1"/>
    <m/>
    <n v="0"/>
    <n v="1"/>
    <n v="247"/>
    <n v="7"/>
    <x v="1"/>
    <n v="1"/>
    <n v="2"/>
    <n v="55"/>
    <n v="1"/>
    <n v="5"/>
    <n v="1"/>
    <n v="19973"/>
    <n v="20284"/>
    <n v="1"/>
    <n v="22"/>
    <n v="4"/>
    <n v="2"/>
    <n v="80"/>
    <n v="2"/>
    <n v="21"/>
    <n v="3"/>
    <n v="21"/>
    <n v="16"/>
    <n v="5"/>
    <n v="10"/>
  </r>
  <r>
    <s v="No"/>
    <s v="Travel_Rarely"/>
    <x v="0"/>
    <s v="Current Employees"/>
    <x v="0"/>
    <x v="0"/>
    <x v="747"/>
    <x v="747"/>
    <x v="1"/>
    <x v="0"/>
    <x v="0"/>
    <s v="Yes"/>
    <s v="Y"/>
    <n v="1"/>
    <n v="-2"/>
    <n v="0"/>
    <x v="8"/>
    <x v="1"/>
    <m/>
    <n v="0"/>
    <n v="1"/>
    <n v="1035"/>
    <n v="3"/>
    <x v="2"/>
    <n v="1"/>
    <n v="2"/>
    <n v="42"/>
    <n v="3"/>
    <n v="2"/>
    <n v="1"/>
    <n v="6861"/>
    <n v="4981"/>
    <n v="8"/>
    <n v="12"/>
    <n v="3"/>
    <n v="3"/>
    <n v="80"/>
    <n v="0"/>
    <n v="19"/>
    <n v="3"/>
    <n v="1"/>
    <n v="0"/>
    <n v="0"/>
    <n v="0"/>
  </r>
  <r>
    <s v="Yes"/>
    <s v="Non-Travel"/>
    <x v="2"/>
    <s v="Ex-Employees"/>
    <x v="0"/>
    <x v="2"/>
    <x v="748"/>
    <x v="748"/>
    <x v="1"/>
    <x v="0"/>
    <x v="0"/>
    <s v="No"/>
    <s v="Y"/>
    <n v="6"/>
    <n v="-2"/>
    <n v="0"/>
    <x v="25"/>
    <x v="0"/>
    <n v="1"/>
    <n v="1"/>
    <n v="0"/>
    <n v="265"/>
    <n v="29"/>
    <x v="0"/>
    <n v="1"/>
    <n v="2"/>
    <n v="79"/>
    <n v="1"/>
    <n v="2"/>
    <n v="3"/>
    <n v="4969"/>
    <n v="21813"/>
    <n v="8"/>
    <n v="18"/>
    <n v="3"/>
    <n v="4"/>
    <n v="80"/>
    <n v="0"/>
    <n v="7"/>
    <n v="3"/>
    <n v="2"/>
    <n v="2"/>
    <n v="2"/>
    <n v="2"/>
  </r>
  <r>
    <s v="Yes"/>
    <s v="Travel_Rarely"/>
    <x v="1"/>
    <s v="Ex-Employees"/>
    <x v="0"/>
    <x v="3"/>
    <x v="749"/>
    <x v="749"/>
    <x v="0"/>
    <x v="5"/>
    <x v="1"/>
    <s v="No"/>
    <s v="Y"/>
    <n v="3"/>
    <n v="-2"/>
    <n v="0"/>
    <x v="39"/>
    <x v="0"/>
    <n v="1"/>
    <n v="1"/>
    <n v="0"/>
    <n v="266"/>
    <n v="2"/>
    <x v="1"/>
    <n v="1"/>
    <n v="1"/>
    <n v="57"/>
    <n v="1"/>
    <n v="5"/>
    <n v="2"/>
    <n v="19845"/>
    <n v="25846"/>
    <n v="1"/>
    <n v="15"/>
    <n v="3"/>
    <n v="4"/>
    <n v="80"/>
    <n v="1"/>
    <n v="33"/>
    <n v="3"/>
    <n v="32"/>
    <n v="14"/>
    <n v="6"/>
    <n v="9"/>
  </r>
  <r>
    <s v="No"/>
    <s v="Travel_Rarely"/>
    <x v="0"/>
    <s v="Current Employees"/>
    <x v="0"/>
    <x v="2"/>
    <x v="750"/>
    <x v="750"/>
    <x v="0"/>
    <x v="0"/>
    <x v="1"/>
    <s v="Yes"/>
    <s v="Y"/>
    <n v="2"/>
    <n v="-2"/>
    <n v="0"/>
    <x v="20"/>
    <x v="1"/>
    <m/>
    <n v="0"/>
    <n v="1"/>
    <n v="1448"/>
    <n v="28"/>
    <x v="3"/>
    <n v="1"/>
    <n v="4"/>
    <n v="53"/>
    <n v="4"/>
    <n v="4"/>
    <n v="4"/>
    <n v="13320"/>
    <n v="11737"/>
    <n v="3"/>
    <n v="18"/>
    <n v="3"/>
    <n v="3"/>
    <n v="80"/>
    <n v="1"/>
    <n v="23"/>
    <n v="3"/>
    <n v="12"/>
    <n v="11"/>
    <n v="11"/>
    <n v="11"/>
  </r>
  <r>
    <s v="No"/>
    <s v="Non-Travel"/>
    <x v="1"/>
    <s v="Current Employees"/>
    <x v="0"/>
    <x v="0"/>
    <x v="751"/>
    <x v="751"/>
    <x v="0"/>
    <x v="0"/>
    <x v="1"/>
    <s v="No"/>
    <s v="Y"/>
    <n v="3"/>
    <n v="-2"/>
    <n v="0"/>
    <x v="24"/>
    <x v="1"/>
    <m/>
    <n v="0"/>
    <n v="1"/>
    <n v="145"/>
    <n v="1"/>
    <x v="3"/>
    <n v="1"/>
    <n v="4"/>
    <n v="95"/>
    <n v="3"/>
    <n v="2"/>
    <n v="1"/>
    <n v="6347"/>
    <n v="24920"/>
    <n v="0"/>
    <n v="12"/>
    <n v="3"/>
    <n v="1"/>
    <n v="80"/>
    <n v="1"/>
    <n v="19"/>
    <n v="3"/>
    <n v="18"/>
    <n v="7"/>
    <n v="0"/>
    <n v="13"/>
  </r>
  <r>
    <s v="Yes"/>
    <s v="Travel_Rarely"/>
    <x v="0"/>
    <s v="Ex-Employees"/>
    <x v="1"/>
    <x v="0"/>
    <x v="752"/>
    <x v="752"/>
    <x v="0"/>
    <x v="2"/>
    <x v="0"/>
    <s v="No"/>
    <s v="Y"/>
    <n v="1"/>
    <n v="-2"/>
    <n v="0"/>
    <x v="9"/>
    <x v="0"/>
    <n v="1"/>
    <n v="1"/>
    <n v="0"/>
    <n v="885"/>
    <n v="16"/>
    <x v="2"/>
    <n v="1"/>
    <n v="3"/>
    <n v="43"/>
    <n v="4"/>
    <n v="1"/>
    <n v="1"/>
    <n v="2743"/>
    <n v="8269"/>
    <n v="1"/>
    <n v="16"/>
    <n v="3"/>
    <n v="3"/>
    <n v="80"/>
    <n v="0"/>
    <n v="18"/>
    <n v="3"/>
    <n v="17"/>
    <n v="13"/>
    <n v="15"/>
    <n v="14"/>
  </r>
  <r>
    <s v="No"/>
    <s v="Travel_Frequently"/>
    <x v="0"/>
    <s v="Current Employees"/>
    <x v="1"/>
    <x v="2"/>
    <x v="753"/>
    <x v="753"/>
    <x v="0"/>
    <x v="3"/>
    <x v="0"/>
    <s v="Yes"/>
    <s v="Y"/>
    <n v="2"/>
    <n v="-2"/>
    <n v="0"/>
    <x v="22"/>
    <x v="1"/>
    <m/>
    <n v="0"/>
    <n v="1"/>
    <n v="945"/>
    <n v="22"/>
    <x v="3"/>
    <n v="1"/>
    <n v="4"/>
    <n v="82"/>
    <n v="3"/>
    <n v="3"/>
    <n v="3"/>
    <n v="10880"/>
    <n v="5083"/>
    <n v="1"/>
    <n v="13"/>
    <n v="3"/>
    <n v="3"/>
    <n v="80"/>
    <n v="0"/>
    <n v="21"/>
    <n v="3"/>
    <n v="21"/>
    <n v="6"/>
    <n v="2"/>
    <n v="8"/>
  </r>
  <r>
    <s v="No"/>
    <s v="Non-Travel"/>
    <x v="2"/>
    <s v="Current Employees"/>
    <x v="0"/>
    <x v="0"/>
    <x v="754"/>
    <x v="754"/>
    <x v="0"/>
    <x v="6"/>
    <x v="0"/>
    <s v="No"/>
    <s v="Y"/>
    <n v="2"/>
    <n v="-2"/>
    <n v="0"/>
    <x v="3"/>
    <x v="1"/>
    <m/>
    <n v="0"/>
    <n v="1"/>
    <n v="1038"/>
    <n v="8"/>
    <x v="1"/>
    <n v="1"/>
    <n v="2"/>
    <n v="88"/>
    <n v="2"/>
    <n v="1"/>
    <n v="1"/>
    <n v="2342"/>
    <n v="21437"/>
    <n v="0"/>
    <n v="19"/>
    <n v="3"/>
    <n v="4"/>
    <n v="80"/>
    <n v="0"/>
    <n v="3"/>
    <n v="2"/>
    <n v="2"/>
    <n v="2"/>
    <n v="2"/>
    <n v="2"/>
  </r>
  <r>
    <s v="No"/>
    <s v="Travel_Rarely"/>
    <x v="1"/>
    <s v="Current Employees"/>
    <x v="0"/>
    <x v="0"/>
    <x v="755"/>
    <x v="755"/>
    <x v="0"/>
    <x v="5"/>
    <x v="1"/>
    <s v="No"/>
    <s v="Y"/>
    <n v="4"/>
    <n v="-2"/>
    <n v="0"/>
    <x v="28"/>
    <x v="1"/>
    <m/>
    <n v="0"/>
    <n v="1"/>
    <n v="1234"/>
    <n v="11"/>
    <x v="0"/>
    <n v="1"/>
    <n v="4"/>
    <n v="90"/>
    <n v="3"/>
    <n v="4"/>
    <n v="1"/>
    <n v="17650"/>
    <n v="5404"/>
    <n v="3"/>
    <n v="13"/>
    <n v="3"/>
    <n v="2"/>
    <n v="80"/>
    <n v="1"/>
    <n v="26"/>
    <n v="4"/>
    <n v="9"/>
    <n v="3"/>
    <n v="1"/>
    <n v="1"/>
  </r>
  <r>
    <s v="No"/>
    <s v="Non-Travel"/>
    <x v="2"/>
    <s v="Current Employees"/>
    <x v="1"/>
    <x v="2"/>
    <x v="756"/>
    <x v="756"/>
    <x v="0"/>
    <x v="2"/>
    <x v="0"/>
    <s v="No"/>
    <s v="Y"/>
    <n v="2"/>
    <n v="-2"/>
    <n v="0"/>
    <x v="5"/>
    <x v="1"/>
    <m/>
    <n v="0"/>
    <n v="1"/>
    <n v="1109"/>
    <n v="29"/>
    <x v="2"/>
    <n v="1"/>
    <n v="4"/>
    <n v="69"/>
    <n v="3"/>
    <n v="1"/>
    <n v="3"/>
    <n v="4025"/>
    <n v="11135"/>
    <n v="9"/>
    <n v="12"/>
    <n v="3"/>
    <n v="2"/>
    <n v="80"/>
    <n v="0"/>
    <n v="10"/>
    <n v="3"/>
    <n v="8"/>
    <n v="7"/>
    <n v="7"/>
    <n v="7"/>
  </r>
  <r>
    <s v="No"/>
    <s v="Travel_Rarely"/>
    <x v="2"/>
    <s v="Current Employees"/>
    <x v="0"/>
    <x v="3"/>
    <x v="757"/>
    <x v="757"/>
    <x v="1"/>
    <x v="0"/>
    <x v="2"/>
    <s v="No"/>
    <s v="Y"/>
    <n v="2"/>
    <n v="-2"/>
    <n v="0"/>
    <x v="13"/>
    <x v="1"/>
    <m/>
    <n v="0"/>
    <n v="1"/>
    <n v="216"/>
    <n v="1"/>
    <x v="2"/>
    <n v="1"/>
    <n v="2"/>
    <n v="75"/>
    <n v="4"/>
    <n v="2"/>
    <n v="2"/>
    <n v="9725"/>
    <n v="12278"/>
    <n v="0"/>
    <n v="11"/>
    <n v="3"/>
    <n v="4"/>
    <n v="80"/>
    <n v="1"/>
    <n v="16"/>
    <n v="2"/>
    <n v="15"/>
    <n v="1"/>
    <n v="0"/>
    <n v="9"/>
  </r>
  <r>
    <s v="No"/>
    <s v="Travel_Rarely"/>
    <x v="3"/>
    <s v="Current Employees"/>
    <x v="0"/>
    <x v="4"/>
    <x v="758"/>
    <x v="758"/>
    <x v="1"/>
    <x v="5"/>
    <x v="1"/>
    <s v="Yes"/>
    <s v="Y"/>
    <n v="1"/>
    <n v="-2"/>
    <n v="0"/>
    <x v="6"/>
    <x v="1"/>
    <m/>
    <n v="0"/>
    <n v="1"/>
    <n v="1089"/>
    <n v="1"/>
    <x v="0"/>
    <n v="1"/>
    <n v="4"/>
    <n v="66"/>
    <n v="3"/>
    <n v="3"/>
    <n v="4"/>
    <n v="11904"/>
    <n v="11038"/>
    <n v="3"/>
    <n v="14"/>
    <n v="3"/>
    <n v="3"/>
    <n v="80"/>
    <n v="1"/>
    <n v="14"/>
    <n v="1"/>
    <n v="6"/>
    <n v="4"/>
    <n v="0"/>
    <n v="4"/>
  </r>
  <r>
    <s v="No"/>
    <s v="Travel_Rarely"/>
    <x v="1"/>
    <s v="Current Employees"/>
    <x v="2"/>
    <x v="2"/>
    <x v="759"/>
    <x v="759"/>
    <x v="1"/>
    <x v="8"/>
    <x v="0"/>
    <s v="No"/>
    <s v="Y"/>
    <n v="3"/>
    <n v="-2"/>
    <n v="0"/>
    <x v="28"/>
    <x v="1"/>
    <m/>
    <n v="0"/>
    <n v="1"/>
    <n v="788"/>
    <n v="24"/>
    <x v="2"/>
    <n v="1"/>
    <n v="2"/>
    <n v="36"/>
    <n v="3"/>
    <n v="1"/>
    <n v="3"/>
    <n v="2177"/>
    <n v="8318"/>
    <n v="1"/>
    <n v="16"/>
    <n v="3"/>
    <n v="1"/>
    <n v="80"/>
    <n v="0"/>
    <n v="6"/>
    <n v="3"/>
    <n v="6"/>
    <n v="3"/>
    <n v="0"/>
    <n v="4"/>
  </r>
  <r>
    <s v="No"/>
    <s v="Travel_Frequently"/>
    <x v="1"/>
    <s v="Current Employees"/>
    <x v="0"/>
    <x v="3"/>
    <x v="760"/>
    <x v="760"/>
    <x v="0"/>
    <x v="0"/>
    <x v="1"/>
    <s v="No"/>
    <s v="Y"/>
    <n v="2"/>
    <n v="-2"/>
    <n v="0"/>
    <x v="16"/>
    <x v="1"/>
    <m/>
    <n v="0"/>
    <n v="1"/>
    <n v="124"/>
    <n v="2"/>
    <x v="3"/>
    <n v="1"/>
    <n v="3"/>
    <n v="38"/>
    <n v="2"/>
    <n v="3"/>
    <n v="2"/>
    <n v="7525"/>
    <n v="23537"/>
    <n v="2"/>
    <n v="12"/>
    <n v="3"/>
    <n v="1"/>
    <n v="80"/>
    <n v="1"/>
    <n v="30"/>
    <n v="3"/>
    <n v="15"/>
    <n v="7"/>
    <n v="6"/>
    <n v="12"/>
  </r>
  <r>
    <s v="Yes"/>
    <s v="Travel_Rarely"/>
    <x v="0"/>
    <s v="Ex-Employees"/>
    <x v="1"/>
    <x v="1"/>
    <x v="761"/>
    <x v="761"/>
    <x v="1"/>
    <x v="2"/>
    <x v="2"/>
    <s v="No"/>
    <s v="Y"/>
    <n v="3"/>
    <n v="-2"/>
    <n v="0"/>
    <x v="9"/>
    <x v="0"/>
    <n v="1"/>
    <n v="1"/>
    <n v="0"/>
    <n v="660"/>
    <n v="15"/>
    <x v="3"/>
    <n v="1"/>
    <n v="1"/>
    <n v="81"/>
    <n v="3"/>
    <n v="2"/>
    <n v="3"/>
    <n v="4834"/>
    <n v="7858"/>
    <n v="7"/>
    <n v="14"/>
    <n v="3"/>
    <n v="2"/>
    <n v="80"/>
    <n v="1"/>
    <n v="9"/>
    <n v="2"/>
    <n v="1"/>
    <n v="0"/>
    <n v="0"/>
    <n v="0"/>
  </r>
  <r>
    <s v="Yes"/>
    <s v="Travel_Frequently"/>
    <x v="2"/>
    <s v="Ex-Employees"/>
    <x v="1"/>
    <x v="0"/>
    <x v="762"/>
    <x v="762"/>
    <x v="1"/>
    <x v="1"/>
    <x v="1"/>
    <s v="Yes"/>
    <s v="Y"/>
    <n v="2"/>
    <n v="-2"/>
    <n v="0"/>
    <x v="25"/>
    <x v="0"/>
    <n v="1"/>
    <n v="1"/>
    <n v="0"/>
    <n v="342"/>
    <n v="2"/>
    <x v="3"/>
    <n v="1"/>
    <n v="1"/>
    <n v="57"/>
    <n v="3"/>
    <n v="1"/>
    <n v="1"/>
    <n v="2042"/>
    <n v="15346"/>
    <n v="6"/>
    <n v="14"/>
    <n v="3"/>
    <n v="2"/>
    <n v="80"/>
    <n v="1"/>
    <n v="6"/>
    <n v="3"/>
    <n v="3"/>
    <n v="2"/>
    <n v="1"/>
    <n v="2"/>
  </r>
  <r>
    <s v="No"/>
    <s v="Travel_Rarely"/>
    <x v="2"/>
    <s v="Current Employees"/>
    <x v="0"/>
    <x v="0"/>
    <x v="763"/>
    <x v="763"/>
    <x v="0"/>
    <x v="6"/>
    <x v="1"/>
    <s v="Yes"/>
    <s v="Y"/>
    <n v="2"/>
    <n v="-2"/>
    <n v="0"/>
    <x v="13"/>
    <x v="1"/>
    <m/>
    <n v="0"/>
    <n v="1"/>
    <n v="1333"/>
    <n v="10"/>
    <x v="2"/>
    <n v="1"/>
    <n v="3"/>
    <n v="87"/>
    <n v="3"/>
    <n v="1"/>
    <n v="1"/>
    <n v="2220"/>
    <n v="18410"/>
    <n v="1"/>
    <n v="19"/>
    <n v="3"/>
    <n v="4"/>
    <n v="80"/>
    <n v="1"/>
    <n v="1"/>
    <n v="3"/>
    <n v="1"/>
    <n v="1"/>
    <n v="0"/>
    <n v="0"/>
  </r>
  <r>
    <s v="No"/>
    <s v="Travel_Rarely"/>
    <x v="2"/>
    <s v="Current Employees"/>
    <x v="0"/>
    <x v="2"/>
    <x v="764"/>
    <x v="764"/>
    <x v="1"/>
    <x v="6"/>
    <x v="1"/>
    <s v="No"/>
    <s v="Y"/>
    <n v="5"/>
    <n v="-2"/>
    <n v="0"/>
    <x v="14"/>
    <x v="1"/>
    <m/>
    <n v="0"/>
    <n v="1"/>
    <n v="1144"/>
    <n v="10"/>
    <x v="1"/>
    <n v="1"/>
    <n v="4"/>
    <n v="74"/>
    <n v="3"/>
    <n v="1"/>
    <n v="3"/>
    <n v="1052"/>
    <n v="23384"/>
    <n v="1"/>
    <n v="22"/>
    <n v="4"/>
    <n v="2"/>
    <n v="80"/>
    <n v="0"/>
    <n v="1"/>
    <n v="3"/>
    <n v="1"/>
    <n v="0"/>
    <n v="0"/>
    <n v="0"/>
  </r>
  <r>
    <s v="No"/>
    <s v="Travel_Frequently"/>
    <x v="0"/>
    <s v="Current Employees"/>
    <x v="1"/>
    <x v="1"/>
    <x v="765"/>
    <x v="765"/>
    <x v="1"/>
    <x v="1"/>
    <x v="1"/>
    <s v="No"/>
    <s v="Y"/>
    <n v="2"/>
    <n v="-2"/>
    <n v="0"/>
    <x v="8"/>
    <x v="1"/>
    <m/>
    <n v="0"/>
    <n v="1"/>
    <n v="1186"/>
    <n v="3"/>
    <x v="2"/>
    <n v="1"/>
    <n v="3"/>
    <n v="44"/>
    <n v="3"/>
    <n v="1"/>
    <n v="3"/>
    <n v="2821"/>
    <n v="2997"/>
    <n v="3"/>
    <n v="16"/>
    <n v="3"/>
    <n v="1"/>
    <n v="80"/>
    <n v="1"/>
    <n v="8"/>
    <n v="3"/>
    <n v="2"/>
    <n v="2"/>
    <n v="2"/>
    <n v="2"/>
  </r>
  <r>
    <s v="No"/>
    <s v="Travel_Rarely"/>
    <x v="1"/>
    <s v="Current Employees"/>
    <x v="1"/>
    <x v="2"/>
    <x v="766"/>
    <x v="766"/>
    <x v="1"/>
    <x v="7"/>
    <x v="1"/>
    <s v="Yes"/>
    <s v="Y"/>
    <n v="2"/>
    <n v="-2"/>
    <n v="0"/>
    <x v="24"/>
    <x v="1"/>
    <m/>
    <n v="0"/>
    <n v="1"/>
    <n v="1464"/>
    <n v="2"/>
    <x v="2"/>
    <n v="1"/>
    <n v="2"/>
    <n v="62"/>
    <n v="3"/>
    <n v="5"/>
    <n v="3"/>
    <n v="19237"/>
    <n v="12853"/>
    <n v="2"/>
    <n v="11"/>
    <n v="3"/>
    <n v="4"/>
    <n v="80"/>
    <n v="1"/>
    <n v="29"/>
    <n v="2"/>
    <n v="8"/>
    <n v="1"/>
    <n v="7"/>
    <n v="7"/>
  </r>
  <r>
    <s v="No"/>
    <s v="Travel_Rarely"/>
    <x v="0"/>
    <s v="Current Employees"/>
    <x v="1"/>
    <x v="1"/>
    <x v="767"/>
    <x v="767"/>
    <x v="0"/>
    <x v="4"/>
    <x v="0"/>
    <s v="No"/>
    <s v="Y"/>
    <n v="3"/>
    <n v="-2"/>
    <n v="0"/>
    <x v="2"/>
    <x v="1"/>
    <m/>
    <n v="0"/>
    <n v="1"/>
    <n v="124"/>
    <n v="3"/>
    <x v="3"/>
    <n v="1"/>
    <n v="4"/>
    <n v="35"/>
    <n v="3"/>
    <n v="2"/>
    <n v="3"/>
    <n v="4107"/>
    <n v="13848"/>
    <n v="3"/>
    <n v="15"/>
    <n v="3"/>
    <n v="1"/>
    <n v="80"/>
    <n v="0"/>
    <n v="8"/>
    <n v="2"/>
    <n v="4"/>
    <n v="3"/>
    <n v="0"/>
    <n v="1"/>
  </r>
  <r>
    <s v="No"/>
    <s v="Travel_Rarely"/>
    <x v="0"/>
    <s v="Current Employees"/>
    <x v="0"/>
    <x v="3"/>
    <x v="768"/>
    <x v="768"/>
    <x v="1"/>
    <x v="0"/>
    <x v="1"/>
    <s v="No"/>
    <s v="Y"/>
    <n v="3"/>
    <n v="-2"/>
    <n v="0"/>
    <x v="32"/>
    <x v="1"/>
    <m/>
    <n v="0"/>
    <n v="1"/>
    <n v="300"/>
    <n v="26"/>
    <x v="3"/>
    <n v="1"/>
    <n v="3"/>
    <n v="74"/>
    <n v="3"/>
    <n v="2"/>
    <n v="2"/>
    <n v="8396"/>
    <n v="22217"/>
    <n v="1"/>
    <n v="14"/>
    <n v="3"/>
    <n v="2"/>
    <n v="80"/>
    <n v="1"/>
    <n v="8"/>
    <n v="2"/>
    <n v="7"/>
    <n v="7"/>
    <n v="7"/>
    <n v="5"/>
  </r>
  <r>
    <s v="No"/>
    <s v="Travel_Frequently"/>
    <x v="2"/>
    <s v="Current Employees"/>
    <x v="1"/>
    <x v="2"/>
    <x v="769"/>
    <x v="769"/>
    <x v="0"/>
    <x v="1"/>
    <x v="2"/>
    <s v="No"/>
    <s v="Y"/>
    <n v="5"/>
    <n v="-2"/>
    <n v="0"/>
    <x v="25"/>
    <x v="1"/>
    <m/>
    <n v="0"/>
    <n v="1"/>
    <n v="921"/>
    <n v="1"/>
    <x v="1"/>
    <n v="1"/>
    <n v="1"/>
    <n v="66"/>
    <n v="2"/>
    <n v="1"/>
    <n v="3"/>
    <n v="2007"/>
    <n v="25265"/>
    <n v="1"/>
    <n v="13"/>
    <n v="3"/>
    <n v="3"/>
    <n v="80"/>
    <n v="2"/>
    <n v="5"/>
    <n v="3"/>
    <n v="5"/>
    <n v="3"/>
    <n v="1"/>
    <n v="3"/>
  </r>
  <r>
    <s v="No"/>
    <s v="Travel_Rarely"/>
    <x v="1"/>
    <s v="Current Employees"/>
    <x v="1"/>
    <x v="2"/>
    <x v="770"/>
    <x v="770"/>
    <x v="1"/>
    <x v="7"/>
    <x v="2"/>
    <s v="No"/>
    <s v="Y"/>
    <n v="0"/>
    <n v="-2"/>
    <n v="0"/>
    <x v="21"/>
    <x v="1"/>
    <m/>
    <n v="0"/>
    <n v="1"/>
    <n v="430"/>
    <n v="1"/>
    <x v="2"/>
    <n v="1"/>
    <n v="4"/>
    <n v="40"/>
    <n v="3"/>
    <n v="5"/>
    <n v="4"/>
    <n v="19627"/>
    <n v="21445"/>
    <n v="9"/>
    <n v="17"/>
    <n v="3"/>
    <n v="4"/>
    <n v="80"/>
    <n v="2"/>
    <n v="23"/>
    <n v="3"/>
    <n v="2"/>
    <n v="2"/>
    <n v="2"/>
    <n v="2"/>
  </r>
  <r>
    <s v="No"/>
    <s v="Travel_Rarely"/>
    <x v="1"/>
    <s v="Current Employees"/>
    <x v="0"/>
    <x v="0"/>
    <x v="771"/>
    <x v="771"/>
    <x v="0"/>
    <x v="0"/>
    <x v="1"/>
    <s v="No"/>
    <s v="Y"/>
    <n v="4"/>
    <n v="-2"/>
    <n v="0"/>
    <x v="33"/>
    <x v="1"/>
    <m/>
    <n v="0"/>
    <n v="1"/>
    <n v="1082"/>
    <n v="2"/>
    <x v="2"/>
    <n v="1"/>
    <n v="3"/>
    <n v="41"/>
    <n v="2"/>
    <n v="3"/>
    <n v="1"/>
    <n v="10686"/>
    <n v="8392"/>
    <n v="6"/>
    <n v="11"/>
    <n v="3"/>
    <n v="2"/>
    <n v="80"/>
    <n v="1"/>
    <n v="13"/>
    <n v="3"/>
    <n v="9"/>
    <n v="4"/>
    <n v="7"/>
    <n v="0"/>
  </r>
  <r>
    <s v="No"/>
    <s v="Travel_Frequently"/>
    <x v="3"/>
    <s v="Current Employees"/>
    <x v="1"/>
    <x v="2"/>
    <x v="772"/>
    <x v="772"/>
    <x v="0"/>
    <x v="1"/>
    <x v="1"/>
    <s v="No"/>
    <s v="Y"/>
    <n v="4"/>
    <n v="-2"/>
    <n v="0"/>
    <x v="29"/>
    <x v="1"/>
    <m/>
    <n v="0"/>
    <n v="1"/>
    <n v="1240"/>
    <n v="9"/>
    <x v="3"/>
    <n v="1"/>
    <n v="1"/>
    <n v="63"/>
    <n v="3"/>
    <n v="1"/>
    <n v="3"/>
    <n v="2942"/>
    <n v="12154"/>
    <n v="2"/>
    <n v="19"/>
    <n v="3"/>
    <n v="2"/>
    <n v="80"/>
    <n v="1"/>
    <n v="18"/>
    <n v="3"/>
    <n v="5"/>
    <n v="4"/>
    <n v="0"/>
    <n v="3"/>
  </r>
  <r>
    <s v="No"/>
    <s v="Travel_Rarely"/>
    <x v="0"/>
    <s v="Current Employees"/>
    <x v="1"/>
    <x v="2"/>
    <x v="773"/>
    <x v="773"/>
    <x v="0"/>
    <x v="3"/>
    <x v="0"/>
    <s v="No"/>
    <s v="Y"/>
    <n v="2"/>
    <n v="-2"/>
    <n v="0"/>
    <x v="9"/>
    <x v="1"/>
    <m/>
    <n v="0"/>
    <n v="1"/>
    <n v="796"/>
    <n v="12"/>
    <x v="4"/>
    <n v="1"/>
    <n v="4"/>
    <n v="51"/>
    <n v="2"/>
    <n v="3"/>
    <n v="4"/>
    <n v="8858"/>
    <n v="15669"/>
    <n v="0"/>
    <n v="11"/>
    <n v="3"/>
    <n v="2"/>
    <n v="80"/>
    <n v="0"/>
    <n v="15"/>
    <n v="2"/>
    <n v="14"/>
    <n v="8"/>
    <n v="7"/>
    <n v="8"/>
  </r>
  <r>
    <s v="No"/>
    <s v="Non-Travel"/>
    <x v="3"/>
    <s v="Current Employees"/>
    <x v="1"/>
    <x v="2"/>
    <x v="774"/>
    <x v="774"/>
    <x v="1"/>
    <x v="5"/>
    <x v="0"/>
    <s v="No"/>
    <s v="Y"/>
    <n v="3"/>
    <n v="-2"/>
    <n v="0"/>
    <x v="27"/>
    <x v="1"/>
    <m/>
    <n v="0"/>
    <n v="1"/>
    <n v="444"/>
    <n v="2"/>
    <x v="1"/>
    <n v="1"/>
    <n v="3"/>
    <n v="40"/>
    <n v="2"/>
    <n v="4"/>
    <n v="3"/>
    <n v="16756"/>
    <n v="17323"/>
    <n v="7"/>
    <n v="15"/>
    <n v="3"/>
    <n v="2"/>
    <n v="80"/>
    <n v="0"/>
    <n v="31"/>
    <n v="4"/>
    <n v="9"/>
    <n v="7"/>
    <n v="6"/>
    <n v="2"/>
  </r>
  <r>
    <s v="No"/>
    <s v="Travel_Rarely"/>
    <x v="0"/>
    <s v="Current Employees"/>
    <x v="0"/>
    <x v="2"/>
    <x v="775"/>
    <x v="775"/>
    <x v="1"/>
    <x v="0"/>
    <x v="2"/>
    <s v="No"/>
    <s v="Y"/>
    <n v="5"/>
    <n v="-2"/>
    <n v="0"/>
    <x v="23"/>
    <x v="1"/>
    <m/>
    <n v="0"/>
    <n v="1"/>
    <n v="415"/>
    <n v="25"/>
    <x v="3"/>
    <n v="1"/>
    <n v="3"/>
    <n v="79"/>
    <n v="2"/>
    <n v="3"/>
    <n v="4"/>
    <n v="10798"/>
    <n v="5268"/>
    <n v="5"/>
    <n v="13"/>
    <n v="3"/>
    <n v="3"/>
    <n v="80"/>
    <n v="1"/>
    <n v="18"/>
    <n v="3"/>
    <n v="1"/>
    <n v="0"/>
    <n v="0"/>
    <n v="0"/>
  </r>
  <r>
    <s v="Yes"/>
    <s v="Travel_Frequently"/>
    <x v="4"/>
    <s v="Ex-Employees"/>
    <x v="0"/>
    <x v="3"/>
    <x v="776"/>
    <x v="776"/>
    <x v="0"/>
    <x v="6"/>
    <x v="0"/>
    <s v="Yes"/>
    <s v="Y"/>
    <n v="3"/>
    <n v="-2"/>
    <n v="0"/>
    <x v="35"/>
    <x v="0"/>
    <n v="1"/>
    <n v="1"/>
    <n v="0"/>
    <n v="769"/>
    <n v="9"/>
    <x v="3"/>
    <n v="1"/>
    <n v="4"/>
    <n v="54"/>
    <n v="3"/>
    <n v="1"/>
    <n v="2"/>
    <n v="2323"/>
    <n v="17205"/>
    <n v="1"/>
    <n v="14"/>
    <n v="3"/>
    <n v="2"/>
    <n v="80"/>
    <n v="0"/>
    <n v="2"/>
    <n v="3"/>
    <n v="2"/>
    <n v="2"/>
    <n v="0"/>
    <n v="2"/>
  </r>
  <r>
    <s v="Yes"/>
    <s v="Travel_Rarely"/>
    <x v="4"/>
    <s v="Ex-Employees"/>
    <x v="1"/>
    <x v="0"/>
    <x v="777"/>
    <x v="777"/>
    <x v="0"/>
    <x v="2"/>
    <x v="0"/>
    <s v="No"/>
    <s v="Y"/>
    <n v="6"/>
    <n v="-2"/>
    <n v="0"/>
    <x v="18"/>
    <x v="0"/>
    <n v="1"/>
    <n v="1"/>
    <n v="0"/>
    <n v="1334"/>
    <n v="10"/>
    <x v="3"/>
    <n v="1"/>
    <n v="3"/>
    <n v="36"/>
    <n v="2"/>
    <n v="1"/>
    <n v="1"/>
    <n v="1416"/>
    <n v="17258"/>
    <n v="1"/>
    <n v="13"/>
    <n v="3"/>
    <n v="1"/>
    <n v="80"/>
    <n v="0"/>
    <n v="1"/>
    <n v="2"/>
    <n v="1"/>
    <n v="0"/>
    <n v="1"/>
    <n v="0"/>
  </r>
  <r>
    <s v="No"/>
    <s v="Travel_Rarely"/>
    <x v="1"/>
    <s v="Current Employees"/>
    <x v="1"/>
    <x v="0"/>
    <x v="778"/>
    <x v="778"/>
    <x v="0"/>
    <x v="1"/>
    <x v="2"/>
    <s v="Yes"/>
    <s v="Y"/>
    <n v="2"/>
    <n v="-2"/>
    <n v="0"/>
    <x v="21"/>
    <x v="1"/>
    <m/>
    <n v="0"/>
    <n v="1"/>
    <n v="1003"/>
    <n v="8"/>
    <x v="2"/>
    <n v="1"/>
    <n v="4"/>
    <n v="74"/>
    <n v="2"/>
    <n v="2"/>
    <n v="1"/>
    <n v="4615"/>
    <n v="21029"/>
    <n v="8"/>
    <n v="23"/>
    <n v="4"/>
    <n v="1"/>
    <n v="80"/>
    <n v="3"/>
    <n v="19"/>
    <n v="3"/>
    <n v="16"/>
    <n v="13"/>
    <n v="1"/>
    <n v="7"/>
  </r>
  <r>
    <s v="Yes"/>
    <s v="Travel_Rarely"/>
    <x v="1"/>
    <s v="Ex-Employees"/>
    <x v="1"/>
    <x v="0"/>
    <x v="779"/>
    <x v="779"/>
    <x v="1"/>
    <x v="1"/>
    <x v="1"/>
    <s v="Yes"/>
    <s v="Y"/>
    <n v="2"/>
    <n v="-2"/>
    <n v="0"/>
    <x v="31"/>
    <x v="0"/>
    <n v="1"/>
    <n v="1"/>
    <n v="0"/>
    <n v="1323"/>
    <n v="4"/>
    <x v="2"/>
    <n v="1"/>
    <n v="1"/>
    <n v="34"/>
    <n v="3"/>
    <n v="1"/>
    <n v="1"/>
    <n v="2461"/>
    <n v="10332"/>
    <n v="9"/>
    <n v="12"/>
    <n v="3"/>
    <n v="3"/>
    <n v="80"/>
    <n v="3"/>
    <n v="18"/>
    <n v="4"/>
    <n v="10"/>
    <n v="0"/>
    <n v="2"/>
    <n v="7"/>
  </r>
  <r>
    <s v="Yes"/>
    <s v="Non-Travel"/>
    <x v="2"/>
    <s v="Ex-Employees"/>
    <x v="1"/>
    <x v="4"/>
    <x v="780"/>
    <x v="780"/>
    <x v="1"/>
    <x v="4"/>
    <x v="0"/>
    <s v="No"/>
    <s v="Y"/>
    <n v="2"/>
    <n v="-2"/>
    <n v="0"/>
    <x v="14"/>
    <x v="0"/>
    <n v="1"/>
    <n v="1"/>
    <n v="0"/>
    <n v="1366"/>
    <n v="24"/>
    <x v="0"/>
    <n v="1"/>
    <n v="4"/>
    <n v="72"/>
    <n v="2"/>
    <n v="3"/>
    <n v="4"/>
    <n v="8722"/>
    <n v="12355"/>
    <n v="1"/>
    <n v="12"/>
    <n v="3"/>
    <n v="1"/>
    <n v="80"/>
    <n v="0"/>
    <n v="10"/>
    <n v="2"/>
    <n v="10"/>
    <n v="7"/>
    <n v="1"/>
    <n v="9"/>
  </r>
  <r>
    <s v="No"/>
    <s v="Travel_Rarely"/>
    <x v="2"/>
    <s v="Current Employees"/>
    <x v="1"/>
    <x v="2"/>
    <x v="781"/>
    <x v="781"/>
    <x v="1"/>
    <x v="2"/>
    <x v="1"/>
    <s v="No"/>
    <s v="Y"/>
    <n v="2"/>
    <n v="-2"/>
    <n v="0"/>
    <x v="25"/>
    <x v="1"/>
    <m/>
    <n v="0"/>
    <n v="1"/>
    <n v="192"/>
    <n v="1"/>
    <x v="0"/>
    <n v="1"/>
    <n v="1"/>
    <n v="59"/>
    <n v="2"/>
    <n v="1"/>
    <n v="3"/>
    <n v="3955"/>
    <n v="11141"/>
    <n v="1"/>
    <n v="16"/>
    <n v="3"/>
    <n v="1"/>
    <n v="80"/>
    <n v="2"/>
    <n v="6"/>
    <n v="3"/>
    <n v="5"/>
    <n v="3"/>
    <n v="1"/>
    <n v="3"/>
  </r>
  <r>
    <s v="No"/>
    <s v="Travel_Rarely"/>
    <x v="2"/>
    <s v="Current Employees"/>
    <x v="1"/>
    <x v="1"/>
    <x v="782"/>
    <x v="782"/>
    <x v="1"/>
    <x v="3"/>
    <x v="1"/>
    <s v="No"/>
    <s v="Y"/>
    <n v="1"/>
    <n v="-2"/>
    <n v="0"/>
    <x v="7"/>
    <x v="1"/>
    <m/>
    <n v="0"/>
    <n v="1"/>
    <n v="1176"/>
    <n v="20"/>
    <x v="3"/>
    <n v="1"/>
    <n v="3"/>
    <n v="85"/>
    <n v="3"/>
    <n v="2"/>
    <n v="3"/>
    <n v="9957"/>
    <n v="9096"/>
    <n v="0"/>
    <n v="15"/>
    <n v="3"/>
    <n v="3"/>
    <n v="80"/>
    <n v="1"/>
    <n v="7"/>
    <n v="2"/>
    <n v="6"/>
    <n v="2"/>
    <n v="0"/>
    <n v="2"/>
  </r>
  <r>
    <s v="No"/>
    <s v="Travel_Rarely"/>
    <x v="0"/>
    <s v="Current Employees"/>
    <x v="1"/>
    <x v="4"/>
    <x v="783"/>
    <x v="783"/>
    <x v="0"/>
    <x v="1"/>
    <x v="1"/>
    <s v="No"/>
    <s v="Y"/>
    <n v="3"/>
    <n v="-2"/>
    <n v="0"/>
    <x v="0"/>
    <x v="1"/>
    <m/>
    <n v="0"/>
    <n v="1"/>
    <n v="509"/>
    <n v="7"/>
    <x v="0"/>
    <n v="1"/>
    <n v="4"/>
    <n v="43"/>
    <n v="4"/>
    <n v="1"/>
    <n v="4"/>
    <n v="3376"/>
    <n v="18863"/>
    <n v="1"/>
    <n v="13"/>
    <n v="3"/>
    <n v="3"/>
    <n v="80"/>
    <n v="0"/>
    <n v="10"/>
    <n v="3"/>
    <n v="10"/>
    <n v="6"/>
    <n v="0"/>
    <n v="8"/>
  </r>
  <r>
    <s v="No"/>
    <s v="Travel_Rarely"/>
    <x v="0"/>
    <s v="Current Employees"/>
    <x v="1"/>
    <x v="0"/>
    <x v="784"/>
    <x v="784"/>
    <x v="0"/>
    <x v="4"/>
    <x v="1"/>
    <s v="No"/>
    <s v="Y"/>
    <n v="4"/>
    <n v="-2"/>
    <n v="0"/>
    <x v="8"/>
    <x v="1"/>
    <m/>
    <n v="0"/>
    <n v="1"/>
    <n v="330"/>
    <n v="17"/>
    <x v="1"/>
    <n v="1"/>
    <n v="3"/>
    <n v="65"/>
    <n v="2"/>
    <n v="3"/>
    <n v="1"/>
    <n v="8823"/>
    <n v="24608"/>
    <n v="0"/>
    <n v="18"/>
    <n v="3"/>
    <n v="1"/>
    <n v="80"/>
    <n v="1"/>
    <n v="20"/>
    <n v="2"/>
    <n v="19"/>
    <n v="9"/>
    <n v="1"/>
    <n v="9"/>
  </r>
  <r>
    <s v="No"/>
    <s v="Travel_Rarely"/>
    <x v="0"/>
    <s v="Current Employees"/>
    <x v="1"/>
    <x v="4"/>
    <x v="785"/>
    <x v="785"/>
    <x v="1"/>
    <x v="4"/>
    <x v="1"/>
    <s v="No"/>
    <s v="Y"/>
    <n v="6"/>
    <n v="-2"/>
    <n v="0"/>
    <x v="32"/>
    <x v="1"/>
    <m/>
    <n v="0"/>
    <n v="1"/>
    <n v="1492"/>
    <n v="20"/>
    <x v="2"/>
    <n v="1"/>
    <n v="4"/>
    <n v="61"/>
    <n v="3"/>
    <n v="3"/>
    <n v="4"/>
    <n v="10322"/>
    <n v="26542"/>
    <n v="4"/>
    <n v="20"/>
    <n v="4"/>
    <n v="4"/>
    <n v="80"/>
    <n v="1"/>
    <n v="14"/>
    <n v="3"/>
    <n v="11"/>
    <n v="10"/>
    <n v="11"/>
    <n v="1"/>
  </r>
  <r>
    <s v="No"/>
    <s v="Non-Travel"/>
    <x v="2"/>
    <s v="Current Employees"/>
    <x v="1"/>
    <x v="0"/>
    <x v="786"/>
    <x v="786"/>
    <x v="1"/>
    <x v="2"/>
    <x v="1"/>
    <s v="No"/>
    <s v="Y"/>
    <n v="4"/>
    <n v="-2"/>
    <n v="0"/>
    <x v="4"/>
    <x v="1"/>
    <m/>
    <n v="0"/>
    <n v="1"/>
    <n v="1277"/>
    <n v="8"/>
    <x v="4"/>
    <n v="1"/>
    <n v="1"/>
    <n v="87"/>
    <n v="1"/>
    <n v="1"/>
    <n v="1"/>
    <n v="4621"/>
    <n v="5869"/>
    <n v="1"/>
    <n v="19"/>
    <n v="3"/>
    <n v="4"/>
    <n v="80"/>
    <n v="3"/>
    <n v="3"/>
    <n v="3"/>
    <n v="3"/>
    <n v="2"/>
    <n v="1"/>
    <n v="2"/>
  </r>
  <r>
    <s v="No"/>
    <s v="Travel_Frequently"/>
    <x v="3"/>
    <s v="Current Employees"/>
    <x v="1"/>
    <x v="0"/>
    <x v="787"/>
    <x v="787"/>
    <x v="1"/>
    <x v="3"/>
    <x v="1"/>
    <s v="No"/>
    <s v="Y"/>
    <n v="4"/>
    <n v="-2"/>
    <n v="0"/>
    <x v="27"/>
    <x v="1"/>
    <m/>
    <n v="0"/>
    <n v="1"/>
    <n v="1091"/>
    <n v="2"/>
    <x v="1"/>
    <n v="1"/>
    <n v="4"/>
    <n v="65"/>
    <n v="3"/>
    <n v="3"/>
    <n v="1"/>
    <n v="10976"/>
    <n v="15813"/>
    <n v="3"/>
    <n v="18"/>
    <n v="3"/>
    <n v="2"/>
    <n v="80"/>
    <n v="1"/>
    <n v="23"/>
    <n v="3"/>
    <n v="3"/>
    <n v="2"/>
    <n v="1"/>
    <n v="2"/>
  </r>
  <r>
    <s v="No"/>
    <s v="Travel_Rarely"/>
    <x v="2"/>
    <s v="Current Employees"/>
    <x v="1"/>
    <x v="1"/>
    <x v="788"/>
    <x v="788"/>
    <x v="0"/>
    <x v="1"/>
    <x v="0"/>
    <s v="No"/>
    <s v="Y"/>
    <n v="4"/>
    <n v="-2"/>
    <n v="0"/>
    <x v="14"/>
    <x v="1"/>
    <m/>
    <n v="0"/>
    <n v="1"/>
    <n v="857"/>
    <n v="10"/>
    <x v="3"/>
    <n v="1"/>
    <n v="3"/>
    <n v="59"/>
    <n v="3"/>
    <n v="2"/>
    <n v="3"/>
    <n v="3660"/>
    <n v="7909"/>
    <n v="3"/>
    <n v="13"/>
    <n v="3"/>
    <n v="4"/>
    <n v="80"/>
    <n v="0"/>
    <n v="10"/>
    <n v="4"/>
    <n v="8"/>
    <n v="7"/>
    <n v="1"/>
    <n v="7"/>
  </r>
  <r>
    <s v="Yes"/>
    <s v="Travel_Rarely"/>
    <x v="0"/>
    <s v="Ex-Employees"/>
    <x v="2"/>
    <x v="2"/>
    <x v="789"/>
    <x v="789"/>
    <x v="1"/>
    <x v="8"/>
    <x v="1"/>
    <s v="No"/>
    <s v="Y"/>
    <n v="1"/>
    <n v="-2"/>
    <n v="0"/>
    <x v="20"/>
    <x v="0"/>
    <n v="1"/>
    <n v="1"/>
    <n v="0"/>
    <n v="1376"/>
    <n v="1"/>
    <x v="0"/>
    <n v="1"/>
    <n v="2"/>
    <n v="91"/>
    <n v="2"/>
    <n v="3"/>
    <n v="3"/>
    <n v="10482"/>
    <n v="2326"/>
    <n v="9"/>
    <n v="14"/>
    <n v="3"/>
    <n v="4"/>
    <n v="80"/>
    <n v="1"/>
    <n v="24"/>
    <n v="3"/>
    <n v="20"/>
    <n v="6"/>
    <n v="3"/>
    <n v="6"/>
  </r>
  <r>
    <s v="No"/>
    <s v="Travel_Rarely"/>
    <x v="2"/>
    <s v="Current Employees"/>
    <x v="1"/>
    <x v="0"/>
    <x v="790"/>
    <x v="790"/>
    <x v="1"/>
    <x v="4"/>
    <x v="2"/>
    <s v="No"/>
    <s v="Y"/>
    <n v="2"/>
    <n v="-2"/>
    <n v="0"/>
    <x v="3"/>
    <x v="1"/>
    <m/>
    <n v="0"/>
    <n v="1"/>
    <n v="654"/>
    <n v="5"/>
    <x v="3"/>
    <n v="1"/>
    <n v="4"/>
    <n v="34"/>
    <n v="2"/>
    <n v="3"/>
    <n v="1"/>
    <n v="7119"/>
    <n v="21214"/>
    <n v="4"/>
    <n v="15"/>
    <n v="3"/>
    <n v="3"/>
    <n v="80"/>
    <n v="1"/>
    <n v="9"/>
    <n v="3"/>
    <n v="3"/>
    <n v="2"/>
    <n v="1"/>
    <n v="2"/>
  </r>
  <r>
    <s v="Yes"/>
    <s v="Travel_Rarely"/>
    <x v="0"/>
    <s v="Ex-Employees"/>
    <x v="0"/>
    <x v="4"/>
    <x v="791"/>
    <x v="791"/>
    <x v="1"/>
    <x v="0"/>
    <x v="0"/>
    <s v="Yes"/>
    <s v="Y"/>
    <n v="2"/>
    <n v="-2"/>
    <n v="0"/>
    <x v="10"/>
    <x v="0"/>
    <n v="1"/>
    <n v="1"/>
    <n v="0"/>
    <n v="1204"/>
    <n v="4"/>
    <x v="3"/>
    <n v="1"/>
    <n v="4"/>
    <n v="86"/>
    <n v="3"/>
    <n v="3"/>
    <n v="4"/>
    <n v="9582"/>
    <n v="10333"/>
    <n v="0"/>
    <n v="22"/>
    <n v="4"/>
    <n v="1"/>
    <n v="80"/>
    <n v="0"/>
    <n v="9"/>
    <n v="3"/>
    <n v="8"/>
    <n v="7"/>
    <n v="4"/>
    <n v="7"/>
  </r>
  <r>
    <s v="Yes"/>
    <s v="Travel_Frequently"/>
    <x v="2"/>
    <s v="Ex-Employees"/>
    <x v="1"/>
    <x v="2"/>
    <x v="792"/>
    <x v="792"/>
    <x v="0"/>
    <x v="1"/>
    <x v="0"/>
    <s v="No"/>
    <s v="Y"/>
    <n v="4"/>
    <n v="-2"/>
    <n v="0"/>
    <x v="3"/>
    <x v="0"/>
    <n v="1"/>
    <n v="1"/>
    <n v="0"/>
    <n v="827"/>
    <n v="29"/>
    <x v="2"/>
    <n v="1"/>
    <n v="1"/>
    <n v="54"/>
    <n v="2"/>
    <n v="2"/>
    <n v="3"/>
    <n v="4508"/>
    <n v="3129"/>
    <n v="1"/>
    <n v="22"/>
    <n v="4"/>
    <n v="2"/>
    <n v="80"/>
    <n v="0"/>
    <n v="14"/>
    <n v="3"/>
    <n v="13"/>
    <n v="7"/>
    <n v="3"/>
    <n v="8"/>
  </r>
  <r>
    <s v="No"/>
    <s v="Travel_Rarely"/>
    <x v="2"/>
    <s v="Current Employees"/>
    <x v="1"/>
    <x v="0"/>
    <x v="793"/>
    <x v="793"/>
    <x v="1"/>
    <x v="2"/>
    <x v="2"/>
    <s v="No"/>
    <s v="Y"/>
    <n v="5"/>
    <n v="-2"/>
    <n v="0"/>
    <x v="14"/>
    <x v="1"/>
    <m/>
    <n v="0"/>
    <n v="1"/>
    <n v="895"/>
    <n v="15"/>
    <x v="0"/>
    <n v="1"/>
    <n v="1"/>
    <n v="50"/>
    <n v="3"/>
    <n v="1"/>
    <n v="1"/>
    <n v="2207"/>
    <n v="22482"/>
    <n v="1"/>
    <n v="16"/>
    <n v="3"/>
    <n v="4"/>
    <n v="80"/>
    <n v="1"/>
    <n v="4"/>
    <n v="2"/>
    <n v="4"/>
    <n v="2"/>
    <n v="2"/>
    <n v="2"/>
  </r>
  <r>
    <s v="No"/>
    <s v="Travel_Frequently"/>
    <x v="2"/>
    <s v="Current Employees"/>
    <x v="1"/>
    <x v="0"/>
    <x v="794"/>
    <x v="794"/>
    <x v="1"/>
    <x v="4"/>
    <x v="0"/>
    <s v="No"/>
    <s v="Y"/>
    <n v="1"/>
    <n v="-2"/>
    <n v="0"/>
    <x v="13"/>
    <x v="1"/>
    <m/>
    <n v="0"/>
    <n v="1"/>
    <n v="618"/>
    <n v="3"/>
    <x v="1"/>
    <n v="1"/>
    <n v="1"/>
    <n v="45"/>
    <n v="3"/>
    <n v="2"/>
    <n v="1"/>
    <n v="7756"/>
    <n v="22266"/>
    <n v="0"/>
    <n v="17"/>
    <n v="3"/>
    <n v="3"/>
    <n v="80"/>
    <n v="0"/>
    <n v="7"/>
    <n v="2"/>
    <n v="6"/>
    <n v="2"/>
    <n v="0"/>
    <n v="4"/>
  </r>
  <r>
    <s v="No"/>
    <s v="Travel_Rarely"/>
    <x v="0"/>
    <s v="Current Employees"/>
    <x v="0"/>
    <x v="0"/>
    <x v="795"/>
    <x v="795"/>
    <x v="0"/>
    <x v="0"/>
    <x v="2"/>
    <s v="Yes"/>
    <s v="Y"/>
    <n v="5"/>
    <n v="-2"/>
    <n v="0"/>
    <x v="2"/>
    <x v="1"/>
    <m/>
    <n v="0"/>
    <n v="1"/>
    <n v="309"/>
    <n v="10"/>
    <x v="2"/>
    <n v="1"/>
    <n v="4"/>
    <n v="88"/>
    <n v="2"/>
    <n v="2"/>
    <n v="1"/>
    <n v="6694"/>
    <n v="24223"/>
    <n v="2"/>
    <n v="14"/>
    <n v="3"/>
    <n v="3"/>
    <n v="80"/>
    <n v="3"/>
    <n v="8"/>
    <n v="3"/>
    <n v="1"/>
    <n v="0"/>
    <n v="0"/>
    <n v="0"/>
  </r>
  <r>
    <s v="Yes"/>
    <s v="Travel_Rarely"/>
    <x v="2"/>
    <s v="Ex-Employees"/>
    <x v="1"/>
    <x v="4"/>
    <x v="796"/>
    <x v="796"/>
    <x v="1"/>
    <x v="2"/>
    <x v="1"/>
    <s v="Yes"/>
    <s v="Y"/>
    <n v="3"/>
    <n v="-2"/>
    <n v="0"/>
    <x v="36"/>
    <x v="0"/>
    <n v="1"/>
    <n v="1"/>
    <n v="0"/>
    <n v="1219"/>
    <n v="4"/>
    <x v="1"/>
    <n v="1"/>
    <n v="4"/>
    <n v="32"/>
    <n v="3"/>
    <n v="1"/>
    <n v="4"/>
    <n v="3691"/>
    <n v="4605"/>
    <n v="1"/>
    <n v="15"/>
    <n v="3"/>
    <n v="2"/>
    <n v="80"/>
    <n v="1"/>
    <n v="7"/>
    <n v="4"/>
    <n v="7"/>
    <n v="7"/>
    <n v="5"/>
    <n v="6"/>
  </r>
  <r>
    <s v="Yes"/>
    <s v="Travel_Rarely"/>
    <x v="2"/>
    <s v="Ex-Employees"/>
    <x v="1"/>
    <x v="2"/>
    <x v="797"/>
    <x v="797"/>
    <x v="1"/>
    <x v="2"/>
    <x v="2"/>
    <s v="No"/>
    <s v="Y"/>
    <n v="0"/>
    <n v="-2"/>
    <n v="0"/>
    <x v="25"/>
    <x v="0"/>
    <n v="1"/>
    <n v="1"/>
    <n v="0"/>
    <n v="1330"/>
    <n v="21"/>
    <x v="3"/>
    <n v="1"/>
    <n v="1"/>
    <n v="37"/>
    <n v="3"/>
    <n v="1"/>
    <n v="3"/>
    <n v="2377"/>
    <n v="19373"/>
    <n v="1"/>
    <n v="20"/>
    <n v="4"/>
    <n v="3"/>
    <n v="80"/>
    <n v="1"/>
    <n v="1"/>
    <n v="2"/>
    <n v="1"/>
    <n v="1"/>
    <n v="0"/>
    <n v="0"/>
  </r>
  <r>
    <s v="Yes"/>
    <s v="Travel_Rarely"/>
    <x v="2"/>
    <s v="Ex-Employees"/>
    <x v="1"/>
    <x v="2"/>
    <x v="798"/>
    <x v="798"/>
    <x v="1"/>
    <x v="1"/>
    <x v="0"/>
    <s v="Yes"/>
    <s v="Y"/>
    <n v="0"/>
    <n v="-2"/>
    <n v="0"/>
    <x v="3"/>
    <x v="0"/>
    <n v="1"/>
    <n v="1"/>
    <n v="0"/>
    <n v="1017"/>
    <n v="25"/>
    <x v="3"/>
    <n v="1"/>
    <n v="1"/>
    <n v="55"/>
    <n v="2"/>
    <n v="1"/>
    <n v="3"/>
    <n v="2313"/>
    <n v="2993"/>
    <n v="4"/>
    <n v="20"/>
    <n v="4"/>
    <n v="2"/>
    <n v="80"/>
    <n v="0"/>
    <n v="5"/>
    <n v="3"/>
    <n v="2"/>
    <n v="2"/>
    <n v="2"/>
    <n v="2"/>
  </r>
  <r>
    <s v="No"/>
    <s v="Travel_Rarely"/>
    <x v="0"/>
    <s v="Current Employees"/>
    <x v="1"/>
    <x v="2"/>
    <x v="799"/>
    <x v="799"/>
    <x v="1"/>
    <x v="5"/>
    <x v="1"/>
    <s v="No"/>
    <s v="Y"/>
    <n v="3"/>
    <n v="-2"/>
    <n v="0"/>
    <x v="19"/>
    <x v="1"/>
    <m/>
    <n v="0"/>
    <n v="1"/>
    <n v="469"/>
    <n v="2"/>
    <x v="0"/>
    <n v="1"/>
    <n v="4"/>
    <n v="35"/>
    <n v="3"/>
    <n v="4"/>
    <n v="3"/>
    <n v="17665"/>
    <n v="14399"/>
    <n v="0"/>
    <n v="17"/>
    <n v="3"/>
    <n v="4"/>
    <n v="80"/>
    <n v="1"/>
    <n v="23"/>
    <n v="3"/>
    <n v="22"/>
    <n v="6"/>
    <n v="13"/>
    <n v="7"/>
  </r>
  <r>
    <s v="Yes"/>
    <s v="Travel_Frequently"/>
    <x v="2"/>
    <s v="Ex-Employees"/>
    <x v="1"/>
    <x v="2"/>
    <x v="800"/>
    <x v="800"/>
    <x v="1"/>
    <x v="2"/>
    <x v="2"/>
    <s v="No"/>
    <s v="Y"/>
    <n v="2"/>
    <n v="-2"/>
    <n v="0"/>
    <x v="14"/>
    <x v="0"/>
    <n v="1"/>
    <n v="1"/>
    <n v="0"/>
    <n v="1009"/>
    <n v="1"/>
    <x v="3"/>
    <n v="1"/>
    <n v="1"/>
    <n v="45"/>
    <n v="2"/>
    <n v="1"/>
    <n v="3"/>
    <n v="2596"/>
    <n v="7160"/>
    <n v="1"/>
    <n v="15"/>
    <n v="3"/>
    <n v="1"/>
    <n v="80"/>
    <n v="2"/>
    <n v="1"/>
    <n v="3"/>
    <n v="1"/>
    <n v="0"/>
    <n v="0"/>
    <n v="0"/>
  </r>
  <r>
    <s v="Yes"/>
    <s v="Travel_Frequently"/>
    <x v="1"/>
    <s v="Ex-Employees"/>
    <x v="0"/>
    <x v="1"/>
    <x v="801"/>
    <x v="801"/>
    <x v="1"/>
    <x v="0"/>
    <x v="0"/>
    <s v="Yes"/>
    <s v="Y"/>
    <n v="4"/>
    <n v="-2"/>
    <n v="0"/>
    <x v="24"/>
    <x v="0"/>
    <n v="1"/>
    <n v="1"/>
    <n v="0"/>
    <n v="959"/>
    <n v="1"/>
    <x v="2"/>
    <n v="1"/>
    <n v="4"/>
    <n v="81"/>
    <n v="3"/>
    <n v="2"/>
    <n v="3"/>
    <n v="4728"/>
    <n v="17251"/>
    <n v="3"/>
    <n v="14"/>
    <n v="3"/>
    <n v="4"/>
    <n v="80"/>
    <n v="0"/>
    <n v="5"/>
    <n v="3"/>
    <n v="0"/>
    <n v="0"/>
    <n v="0"/>
    <n v="0"/>
  </r>
  <r>
    <s v="No"/>
    <s v="Travel_Frequently"/>
    <x v="2"/>
    <s v="Current Employees"/>
    <x v="0"/>
    <x v="0"/>
    <x v="802"/>
    <x v="802"/>
    <x v="0"/>
    <x v="0"/>
    <x v="1"/>
    <s v="No"/>
    <s v="Y"/>
    <n v="3"/>
    <n v="-2"/>
    <n v="0"/>
    <x v="3"/>
    <x v="1"/>
    <m/>
    <n v="0"/>
    <n v="1"/>
    <n v="970"/>
    <n v="7"/>
    <x v="3"/>
    <n v="1"/>
    <n v="4"/>
    <n v="30"/>
    <n v="3"/>
    <n v="2"/>
    <n v="1"/>
    <n v="4302"/>
    <n v="13401"/>
    <n v="0"/>
    <n v="17"/>
    <n v="3"/>
    <n v="3"/>
    <n v="80"/>
    <n v="1"/>
    <n v="4"/>
    <n v="3"/>
    <n v="3"/>
    <n v="2"/>
    <n v="0"/>
    <n v="2"/>
  </r>
  <r>
    <s v="No"/>
    <s v="Non-Travel"/>
    <x v="2"/>
    <s v="Current Employees"/>
    <x v="1"/>
    <x v="0"/>
    <x v="803"/>
    <x v="803"/>
    <x v="1"/>
    <x v="1"/>
    <x v="1"/>
    <s v="No"/>
    <s v="Y"/>
    <n v="2"/>
    <n v="-2"/>
    <n v="0"/>
    <x v="13"/>
    <x v="1"/>
    <m/>
    <n v="0"/>
    <n v="1"/>
    <n v="697"/>
    <n v="3"/>
    <x v="2"/>
    <n v="1"/>
    <n v="3"/>
    <n v="40"/>
    <n v="2"/>
    <n v="1"/>
    <n v="1"/>
    <n v="2979"/>
    <n v="22478"/>
    <n v="3"/>
    <n v="17"/>
    <n v="3"/>
    <n v="4"/>
    <n v="80"/>
    <n v="3"/>
    <n v="6"/>
    <n v="3"/>
    <n v="0"/>
    <n v="0"/>
    <n v="0"/>
    <n v="0"/>
  </r>
  <r>
    <s v="No"/>
    <s v="Non-Travel"/>
    <x v="1"/>
    <s v="Current Employees"/>
    <x v="1"/>
    <x v="2"/>
    <x v="804"/>
    <x v="804"/>
    <x v="1"/>
    <x v="5"/>
    <x v="0"/>
    <s v="No"/>
    <s v="Y"/>
    <n v="3"/>
    <n v="-2"/>
    <n v="0"/>
    <x v="26"/>
    <x v="1"/>
    <m/>
    <n v="0"/>
    <n v="1"/>
    <n v="1262"/>
    <n v="1"/>
    <x v="2"/>
    <n v="1"/>
    <n v="1"/>
    <n v="35"/>
    <n v="4"/>
    <n v="4"/>
    <n v="4"/>
    <n v="16885"/>
    <n v="16154"/>
    <n v="2"/>
    <n v="22"/>
    <n v="4"/>
    <n v="3"/>
    <n v="80"/>
    <n v="0"/>
    <n v="27"/>
    <n v="2"/>
    <n v="5"/>
    <n v="4"/>
    <n v="2"/>
    <n v="1"/>
  </r>
  <r>
    <s v="No"/>
    <s v="Non-Travel"/>
    <x v="1"/>
    <s v="Current Employees"/>
    <x v="0"/>
    <x v="0"/>
    <x v="805"/>
    <x v="805"/>
    <x v="0"/>
    <x v="0"/>
    <x v="1"/>
    <s v="No"/>
    <s v="Y"/>
    <n v="2"/>
    <n v="-2"/>
    <n v="0"/>
    <x v="28"/>
    <x v="1"/>
    <m/>
    <n v="0"/>
    <n v="1"/>
    <n v="1050"/>
    <n v="9"/>
    <x v="2"/>
    <n v="1"/>
    <n v="2"/>
    <n v="65"/>
    <n v="2"/>
    <n v="2"/>
    <n v="1"/>
    <n v="5593"/>
    <n v="17970"/>
    <n v="1"/>
    <n v="13"/>
    <n v="3"/>
    <n v="4"/>
    <n v="80"/>
    <n v="1"/>
    <n v="15"/>
    <n v="3"/>
    <n v="15"/>
    <n v="10"/>
    <n v="4"/>
    <n v="12"/>
  </r>
  <r>
    <s v="No"/>
    <s v="Travel_Rarely"/>
    <x v="1"/>
    <s v="Current Employees"/>
    <x v="1"/>
    <x v="0"/>
    <x v="806"/>
    <x v="806"/>
    <x v="1"/>
    <x v="4"/>
    <x v="0"/>
    <s v="No"/>
    <s v="Y"/>
    <n v="4"/>
    <n v="-2"/>
    <n v="0"/>
    <x v="39"/>
    <x v="1"/>
    <m/>
    <n v="0"/>
    <n v="1"/>
    <n v="994"/>
    <n v="7"/>
    <x v="2"/>
    <n v="1"/>
    <n v="2"/>
    <n v="87"/>
    <n v="3"/>
    <n v="3"/>
    <n v="1"/>
    <n v="10445"/>
    <n v="15322"/>
    <n v="7"/>
    <n v="19"/>
    <n v="3"/>
    <n v="4"/>
    <n v="80"/>
    <n v="0"/>
    <n v="18"/>
    <n v="3"/>
    <n v="8"/>
    <n v="6"/>
    <n v="4"/>
    <n v="0"/>
  </r>
  <r>
    <s v="No"/>
    <s v="Travel_Rarely"/>
    <x v="0"/>
    <s v="Current Employees"/>
    <x v="0"/>
    <x v="3"/>
    <x v="807"/>
    <x v="807"/>
    <x v="1"/>
    <x v="0"/>
    <x v="2"/>
    <s v="Yes"/>
    <s v="Y"/>
    <n v="2"/>
    <n v="-2"/>
    <n v="0"/>
    <x v="8"/>
    <x v="1"/>
    <m/>
    <n v="0"/>
    <n v="1"/>
    <n v="770"/>
    <n v="10"/>
    <x v="2"/>
    <n v="1"/>
    <n v="3"/>
    <n v="73"/>
    <n v="2"/>
    <n v="3"/>
    <n v="2"/>
    <n v="8740"/>
    <n v="5569"/>
    <n v="0"/>
    <n v="14"/>
    <n v="3"/>
    <n v="2"/>
    <n v="80"/>
    <n v="2"/>
    <n v="9"/>
    <n v="3"/>
    <n v="8"/>
    <n v="7"/>
    <n v="2"/>
    <n v="7"/>
  </r>
  <r>
    <s v="No"/>
    <s v="Travel_Rarely"/>
    <x v="2"/>
    <s v="Current Employees"/>
    <x v="1"/>
    <x v="0"/>
    <x v="808"/>
    <x v="808"/>
    <x v="0"/>
    <x v="1"/>
    <x v="2"/>
    <s v="No"/>
    <s v="Y"/>
    <n v="1"/>
    <n v="-2"/>
    <n v="0"/>
    <x v="11"/>
    <x v="1"/>
    <m/>
    <n v="0"/>
    <n v="1"/>
    <n v="1107"/>
    <n v="28"/>
    <x v="2"/>
    <n v="1"/>
    <n v="3"/>
    <n v="93"/>
    <n v="3"/>
    <n v="1"/>
    <n v="1"/>
    <n v="2514"/>
    <n v="26968"/>
    <n v="4"/>
    <n v="22"/>
    <n v="4"/>
    <n v="1"/>
    <n v="80"/>
    <n v="1"/>
    <n v="11"/>
    <n v="3"/>
    <n v="7"/>
    <n v="5"/>
    <n v="1"/>
    <n v="7"/>
  </r>
  <r>
    <s v="No"/>
    <s v="Travel_Rarely"/>
    <x v="2"/>
    <s v="Current Employees"/>
    <x v="1"/>
    <x v="2"/>
    <x v="809"/>
    <x v="809"/>
    <x v="0"/>
    <x v="3"/>
    <x v="2"/>
    <s v="No"/>
    <s v="Y"/>
    <n v="3"/>
    <n v="-2"/>
    <n v="0"/>
    <x v="14"/>
    <x v="1"/>
    <m/>
    <n v="0"/>
    <n v="1"/>
    <n v="950"/>
    <n v="3"/>
    <x v="3"/>
    <n v="1"/>
    <n v="4"/>
    <n v="93"/>
    <n v="3"/>
    <n v="3"/>
    <n v="3"/>
    <n v="7655"/>
    <n v="8039"/>
    <n v="0"/>
    <n v="17"/>
    <n v="3"/>
    <n v="2"/>
    <n v="80"/>
    <n v="3"/>
    <n v="10"/>
    <n v="2"/>
    <n v="9"/>
    <n v="7"/>
    <n v="1"/>
    <n v="7"/>
  </r>
  <r>
    <s v="No"/>
    <s v="Travel_Rarely"/>
    <x v="1"/>
    <s v="Current Employees"/>
    <x v="0"/>
    <x v="3"/>
    <x v="810"/>
    <x v="810"/>
    <x v="1"/>
    <x v="5"/>
    <x v="1"/>
    <s v="No"/>
    <s v="Y"/>
    <n v="3"/>
    <n v="-2"/>
    <n v="0"/>
    <x v="21"/>
    <x v="1"/>
    <m/>
    <n v="0"/>
    <n v="1"/>
    <n v="406"/>
    <n v="3"/>
    <x v="1"/>
    <n v="1"/>
    <n v="1"/>
    <n v="52"/>
    <n v="3"/>
    <n v="4"/>
    <n v="2"/>
    <n v="17465"/>
    <n v="15596"/>
    <n v="3"/>
    <n v="12"/>
    <n v="3"/>
    <n v="4"/>
    <n v="80"/>
    <n v="1"/>
    <n v="23"/>
    <n v="3"/>
    <n v="12"/>
    <n v="9"/>
    <n v="4"/>
    <n v="9"/>
  </r>
  <r>
    <s v="No"/>
    <s v="Travel_Rarely"/>
    <x v="0"/>
    <s v="Current Employees"/>
    <x v="0"/>
    <x v="3"/>
    <x v="811"/>
    <x v="811"/>
    <x v="1"/>
    <x v="0"/>
    <x v="0"/>
    <s v="No"/>
    <s v="Y"/>
    <n v="2"/>
    <n v="-2"/>
    <n v="0"/>
    <x v="8"/>
    <x v="1"/>
    <m/>
    <n v="0"/>
    <n v="1"/>
    <n v="130"/>
    <n v="2"/>
    <x v="0"/>
    <n v="1"/>
    <n v="4"/>
    <n v="32"/>
    <n v="3"/>
    <n v="3"/>
    <n v="2"/>
    <n v="7351"/>
    <n v="20619"/>
    <n v="7"/>
    <n v="16"/>
    <n v="3"/>
    <n v="3"/>
    <n v="80"/>
    <n v="0"/>
    <n v="10"/>
    <n v="3"/>
    <n v="1"/>
    <n v="0"/>
    <n v="0"/>
    <n v="0"/>
  </r>
  <r>
    <s v="No"/>
    <s v="Travel_Frequently"/>
    <x v="0"/>
    <s v="Current Employees"/>
    <x v="1"/>
    <x v="0"/>
    <x v="812"/>
    <x v="812"/>
    <x v="0"/>
    <x v="3"/>
    <x v="1"/>
    <s v="No"/>
    <s v="Y"/>
    <n v="1"/>
    <n v="-2"/>
    <n v="0"/>
    <x v="23"/>
    <x v="1"/>
    <m/>
    <n v="0"/>
    <n v="1"/>
    <n v="1082"/>
    <n v="27"/>
    <x v="3"/>
    <n v="1"/>
    <n v="3"/>
    <n v="83"/>
    <n v="3"/>
    <n v="3"/>
    <n v="1"/>
    <n v="10820"/>
    <n v="11535"/>
    <n v="8"/>
    <n v="11"/>
    <n v="3"/>
    <n v="3"/>
    <n v="80"/>
    <n v="1"/>
    <n v="18"/>
    <n v="3"/>
    <n v="8"/>
    <n v="7"/>
    <n v="0"/>
    <n v="1"/>
  </r>
  <r>
    <s v="Yes"/>
    <s v="Travel_Frequently"/>
    <x v="0"/>
    <s v="Ex-Employees"/>
    <x v="1"/>
    <x v="0"/>
    <x v="813"/>
    <x v="813"/>
    <x v="1"/>
    <x v="4"/>
    <x v="2"/>
    <s v="No"/>
    <s v="Y"/>
    <n v="4"/>
    <n v="-2"/>
    <n v="0"/>
    <x v="22"/>
    <x v="0"/>
    <n v="1"/>
    <n v="1"/>
    <n v="0"/>
    <n v="203"/>
    <n v="2"/>
    <x v="3"/>
    <n v="1"/>
    <n v="1"/>
    <n v="84"/>
    <n v="3"/>
    <n v="4"/>
    <n v="1"/>
    <n v="12169"/>
    <n v="13547"/>
    <n v="7"/>
    <n v="11"/>
    <n v="3"/>
    <n v="4"/>
    <n v="80"/>
    <n v="3"/>
    <n v="21"/>
    <n v="3"/>
    <n v="18"/>
    <n v="7"/>
    <n v="11"/>
    <n v="5"/>
  </r>
  <r>
    <s v="No"/>
    <s v="Travel_Rarely"/>
    <x v="0"/>
    <s v="Current Employees"/>
    <x v="1"/>
    <x v="2"/>
    <x v="814"/>
    <x v="814"/>
    <x v="1"/>
    <x v="7"/>
    <x v="0"/>
    <s v="No"/>
    <s v="Y"/>
    <n v="2"/>
    <n v="-2"/>
    <n v="0"/>
    <x v="32"/>
    <x v="1"/>
    <m/>
    <n v="0"/>
    <n v="1"/>
    <n v="1308"/>
    <n v="14"/>
    <x v="3"/>
    <n v="1"/>
    <n v="3"/>
    <n v="44"/>
    <n v="2"/>
    <n v="5"/>
    <n v="3"/>
    <n v="19626"/>
    <n v="17544"/>
    <n v="1"/>
    <n v="14"/>
    <n v="3"/>
    <n v="1"/>
    <n v="80"/>
    <n v="0"/>
    <n v="21"/>
    <n v="4"/>
    <n v="20"/>
    <n v="7"/>
    <n v="4"/>
    <n v="9"/>
  </r>
  <r>
    <s v="No"/>
    <s v="Travel_Rarely"/>
    <x v="4"/>
    <s v="Current Employees"/>
    <x v="1"/>
    <x v="4"/>
    <x v="815"/>
    <x v="815"/>
    <x v="0"/>
    <x v="1"/>
    <x v="0"/>
    <s v="Yes"/>
    <s v="Y"/>
    <n v="6"/>
    <n v="-2"/>
    <n v="0"/>
    <x v="18"/>
    <x v="1"/>
    <m/>
    <n v="0"/>
    <n v="1"/>
    <n v="984"/>
    <n v="1"/>
    <x v="1"/>
    <n v="1"/>
    <n v="4"/>
    <n v="70"/>
    <n v="2"/>
    <n v="1"/>
    <n v="4"/>
    <n v="2070"/>
    <n v="25326"/>
    <n v="1"/>
    <n v="11"/>
    <n v="3"/>
    <n v="3"/>
    <n v="80"/>
    <n v="0"/>
    <n v="2"/>
    <n v="4"/>
    <n v="2"/>
    <n v="2"/>
    <n v="2"/>
    <n v="2"/>
  </r>
  <r>
    <s v="No"/>
    <s v="Non-Travel"/>
    <x v="0"/>
    <s v="Current Employees"/>
    <x v="1"/>
    <x v="0"/>
    <x v="816"/>
    <x v="816"/>
    <x v="1"/>
    <x v="2"/>
    <x v="0"/>
    <s v="No"/>
    <s v="Y"/>
    <n v="2"/>
    <n v="-2"/>
    <n v="0"/>
    <x v="22"/>
    <x v="1"/>
    <m/>
    <n v="0"/>
    <n v="1"/>
    <n v="439"/>
    <n v="9"/>
    <x v="3"/>
    <n v="1"/>
    <n v="3"/>
    <n v="70"/>
    <n v="3"/>
    <n v="2"/>
    <n v="1"/>
    <n v="6782"/>
    <n v="8770"/>
    <n v="9"/>
    <n v="15"/>
    <n v="3"/>
    <n v="3"/>
    <n v="80"/>
    <n v="0"/>
    <n v="9"/>
    <n v="2"/>
    <n v="5"/>
    <n v="4"/>
    <n v="0"/>
    <n v="3"/>
  </r>
  <r>
    <s v="No"/>
    <s v="Non-Travel"/>
    <x v="0"/>
    <s v="Current Employees"/>
    <x v="1"/>
    <x v="0"/>
    <x v="817"/>
    <x v="817"/>
    <x v="1"/>
    <x v="3"/>
    <x v="0"/>
    <s v="No"/>
    <s v="Y"/>
    <n v="0"/>
    <n v="-2"/>
    <n v="0"/>
    <x v="9"/>
    <x v="1"/>
    <m/>
    <n v="0"/>
    <n v="1"/>
    <n v="217"/>
    <n v="18"/>
    <x v="2"/>
    <n v="1"/>
    <n v="1"/>
    <n v="78"/>
    <n v="3"/>
    <n v="2"/>
    <n v="1"/>
    <n v="7779"/>
    <n v="23238"/>
    <n v="2"/>
    <n v="20"/>
    <n v="4"/>
    <n v="1"/>
    <n v="80"/>
    <n v="0"/>
    <n v="18"/>
    <n v="3"/>
    <n v="11"/>
    <n v="9"/>
    <n v="0"/>
    <n v="9"/>
  </r>
  <r>
    <s v="No"/>
    <s v="Travel_Frequently"/>
    <x v="2"/>
    <s v="Current Employees"/>
    <x v="0"/>
    <x v="0"/>
    <x v="818"/>
    <x v="818"/>
    <x v="1"/>
    <x v="6"/>
    <x v="1"/>
    <s v="No"/>
    <s v="Y"/>
    <n v="4"/>
    <n v="-2"/>
    <n v="0"/>
    <x v="12"/>
    <x v="1"/>
    <m/>
    <n v="0"/>
    <n v="1"/>
    <n v="793"/>
    <n v="20"/>
    <x v="3"/>
    <n v="1"/>
    <n v="3"/>
    <n v="67"/>
    <n v="4"/>
    <n v="1"/>
    <n v="1"/>
    <n v="2791"/>
    <n v="21981"/>
    <n v="0"/>
    <n v="12"/>
    <n v="3"/>
    <n v="1"/>
    <n v="80"/>
    <n v="1"/>
    <n v="3"/>
    <n v="3"/>
    <n v="2"/>
    <n v="2"/>
    <n v="2"/>
    <n v="2"/>
  </r>
  <r>
    <s v="No"/>
    <s v="Travel_Rarely"/>
    <x v="2"/>
    <s v="Current Employees"/>
    <x v="1"/>
    <x v="0"/>
    <x v="819"/>
    <x v="819"/>
    <x v="1"/>
    <x v="1"/>
    <x v="1"/>
    <s v="No"/>
    <s v="Y"/>
    <n v="2"/>
    <n v="-2"/>
    <n v="0"/>
    <x v="14"/>
    <x v="1"/>
    <m/>
    <n v="0"/>
    <n v="1"/>
    <n v="1451"/>
    <n v="2"/>
    <x v="1"/>
    <n v="1"/>
    <n v="1"/>
    <n v="67"/>
    <n v="2"/>
    <n v="1"/>
    <n v="1"/>
    <n v="3201"/>
    <n v="19911"/>
    <n v="0"/>
    <n v="17"/>
    <n v="3"/>
    <n v="1"/>
    <n v="80"/>
    <n v="0"/>
    <n v="6"/>
    <n v="1"/>
    <n v="5"/>
    <n v="3"/>
    <n v="0"/>
    <n v="4"/>
  </r>
  <r>
    <s v="No"/>
    <s v="Travel_Frequently"/>
    <x v="0"/>
    <s v="Current Employees"/>
    <x v="0"/>
    <x v="3"/>
    <x v="820"/>
    <x v="820"/>
    <x v="1"/>
    <x v="0"/>
    <x v="2"/>
    <s v="No"/>
    <s v="Y"/>
    <n v="3"/>
    <n v="-2"/>
    <n v="0"/>
    <x v="10"/>
    <x v="1"/>
    <m/>
    <n v="0"/>
    <n v="1"/>
    <n v="1182"/>
    <n v="11"/>
    <x v="0"/>
    <n v="1"/>
    <n v="4"/>
    <n v="54"/>
    <n v="3"/>
    <n v="2"/>
    <n v="2"/>
    <n v="4968"/>
    <n v="18500"/>
    <n v="1"/>
    <n v="11"/>
    <n v="3"/>
    <n v="4"/>
    <n v="80"/>
    <n v="1"/>
    <n v="5"/>
    <n v="3"/>
    <n v="5"/>
    <n v="2"/>
    <n v="0"/>
    <n v="2"/>
  </r>
  <r>
    <s v="No"/>
    <s v="Travel_Rarely"/>
    <x v="1"/>
    <s v="Current Employees"/>
    <x v="0"/>
    <x v="4"/>
    <x v="821"/>
    <x v="821"/>
    <x v="1"/>
    <x v="0"/>
    <x v="1"/>
    <s v="No"/>
    <s v="Y"/>
    <n v="3"/>
    <n v="-2"/>
    <n v="0"/>
    <x v="1"/>
    <x v="1"/>
    <m/>
    <n v="0"/>
    <n v="1"/>
    <n v="174"/>
    <n v="8"/>
    <x v="2"/>
    <n v="1"/>
    <n v="4"/>
    <n v="56"/>
    <n v="2"/>
    <n v="4"/>
    <n v="4"/>
    <n v="13120"/>
    <n v="11879"/>
    <n v="6"/>
    <n v="17"/>
    <n v="3"/>
    <n v="2"/>
    <n v="80"/>
    <n v="1"/>
    <n v="22"/>
    <n v="3"/>
    <n v="9"/>
    <n v="8"/>
    <n v="2"/>
    <n v="3"/>
  </r>
  <r>
    <s v="No"/>
    <s v="Travel_Frequently"/>
    <x v="2"/>
    <s v="Current Employees"/>
    <x v="1"/>
    <x v="0"/>
    <x v="822"/>
    <x v="822"/>
    <x v="1"/>
    <x v="3"/>
    <x v="0"/>
    <s v="No"/>
    <s v="Y"/>
    <n v="3"/>
    <n v="-2"/>
    <n v="0"/>
    <x v="13"/>
    <x v="1"/>
    <m/>
    <n v="0"/>
    <n v="1"/>
    <n v="1003"/>
    <n v="2"/>
    <x v="0"/>
    <n v="1"/>
    <n v="4"/>
    <n v="95"/>
    <n v="3"/>
    <n v="2"/>
    <n v="1"/>
    <n v="4033"/>
    <n v="15834"/>
    <n v="2"/>
    <n v="11"/>
    <n v="3"/>
    <n v="4"/>
    <n v="80"/>
    <n v="0"/>
    <n v="5"/>
    <n v="2"/>
    <n v="3"/>
    <n v="2"/>
    <n v="0"/>
    <n v="2"/>
  </r>
  <r>
    <s v="No"/>
    <s v="Travel_Frequently"/>
    <x v="2"/>
    <s v="Current Employees"/>
    <x v="1"/>
    <x v="0"/>
    <x v="823"/>
    <x v="823"/>
    <x v="0"/>
    <x v="1"/>
    <x v="2"/>
    <s v="No"/>
    <s v="Y"/>
    <n v="2"/>
    <n v="-2"/>
    <n v="0"/>
    <x v="11"/>
    <x v="1"/>
    <m/>
    <n v="0"/>
    <n v="1"/>
    <n v="490"/>
    <n v="10"/>
    <x v="3"/>
    <n v="1"/>
    <n v="4"/>
    <n v="61"/>
    <n v="3"/>
    <n v="1"/>
    <n v="1"/>
    <n v="3291"/>
    <n v="17940"/>
    <n v="0"/>
    <n v="14"/>
    <n v="3"/>
    <n v="4"/>
    <n v="80"/>
    <n v="2"/>
    <n v="8"/>
    <n v="2"/>
    <n v="7"/>
    <n v="5"/>
    <n v="1"/>
    <n v="1"/>
  </r>
  <r>
    <s v="No"/>
    <s v="Travel_Rarely"/>
    <x v="0"/>
    <s v="Current Employees"/>
    <x v="1"/>
    <x v="2"/>
    <x v="824"/>
    <x v="824"/>
    <x v="1"/>
    <x v="2"/>
    <x v="0"/>
    <s v="No"/>
    <s v="Y"/>
    <n v="3"/>
    <n v="-2"/>
    <n v="0"/>
    <x v="19"/>
    <x v="1"/>
    <m/>
    <n v="0"/>
    <n v="1"/>
    <n v="188"/>
    <n v="29"/>
    <x v="3"/>
    <n v="1"/>
    <n v="2"/>
    <n v="56"/>
    <n v="1"/>
    <n v="2"/>
    <n v="4"/>
    <n v="4272"/>
    <n v="9558"/>
    <n v="4"/>
    <n v="19"/>
    <n v="3"/>
    <n v="1"/>
    <n v="80"/>
    <n v="0"/>
    <n v="16"/>
    <n v="3"/>
    <n v="1"/>
    <n v="0"/>
    <n v="0"/>
    <n v="0"/>
  </r>
  <r>
    <s v="No"/>
    <s v="Travel_Rarely"/>
    <x v="2"/>
    <s v="Current Employees"/>
    <x v="1"/>
    <x v="2"/>
    <x v="825"/>
    <x v="825"/>
    <x v="1"/>
    <x v="3"/>
    <x v="1"/>
    <s v="Yes"/>
    <s v="Y"/>
    <n v="2"/>
    <n v="-2"/>
    <n v="0"/>
    <x v="11"/>
    <x v="1"/>
    <m/>
    <n v="0"/>
    <n v="1"/>
    <n v="718"/>
    <n v="8"/>
    <x v="1"/>
    <n v="1"/>
    <n v="2"/>
    <n v="79"/>
    <n v="2"/>
    <n v="2"/>
    <n v="4"/>
    <n v="5056"/>
    <n v="17689"/>
    <n v="1"/>
    <n v="15"/>
    <n v="3"/>
    <n v="3"/>
    <n v="80"/>
    <n v="1"/>
    <n v="10"/>
    <n v="2"/>
    <n v="10"/>
    <n v="7"/>
    <n v="1"/>
    <n v="2"/>
  </r>
  <r>
    <s v="No"/>
    <s v="Travel_Rarely"/>
    <x v="0"/>
    <s v="Current Employees"/>
    <x v="2"/>
    <x v="5"/>
    <x v="826"/>
    <x v="826"/>
    <x v="1"/>
    <x v="8"/>
    <x v="1"/>
    <s v="No"/>
    <s v="Y"/>
    <n v="2"/>
    <n v="-2"/>
    <n v="0"/>
    <x v="8"/>
    <x v="1"/>
    <m/>
    <n v="0"/>
    <n v="1"/>
    <n v="433"/>
    <n v="1"/>
    <x v="3"/>
    <n v="1"/>
    <n v="3"/>
    <n v="37"/>
    <n v="4"/>
    <n v="1"/>
    <n v="3"/>
    <n v="2844"/>
    <n v="6004"/>
    <n v="1"/>
    <n v="13"/>
    <n v="3"/>
    <n v="4"/>
    <n v="80"/>
    <n v="1"/>
    <n v="7"/>
    <n v="4"/>
    <n v="7"/>
    <n v="6"/>
    <n v="5"/>
    <n v="0"/>
  </r>
  <r>
    <s v="No"/>
    <s v="Travel_Frequently"/>
    <x v="2"/>
    <s v="Current Employees"/>
    <x v="1"/>
    <x v="0"/>
    <x v="827"/>
    <x v="827"/>
    <x v="1"/>
    <x v="1"/>
    <x v="2"/>
    <s v="Yes"/>
    <s v="Y"/>
    <n v="2"/>
    <n v="-2"/>
    <n v="0"/>
    <x v="14"/>
    <x v="1"/>
    <m/>
    <n v="0"/>
    <n v="1"/>
    <n v="773"/>
    <n v="6"/>
    <x v="3"/>
    <n v="1"/>
    <n v="3"/>
    <n v="39"/>
    <n v="2"/>
    <n v="1"/>
    <n v="1"/>
    <n v="2703"/>
    <n v="22088"/>
    <n v="1"/>
    <n v="14"/>
    <n v="3"/>
    <n v="4"/>
    <n v="80"/>
    <n v="1"/>
    <n v="3"/>
    <n v="3"/>
    <n v="3"/>
    <n v="1"/>
    <n v="0"/>
    <n v="2"/>
  </r>
  <r>
    <s v="Yes"/>
    <s v="Non-Travel"/>
    <x v="4"/>
    <s v="Ex-Employees"/>
    <x v="1"/>
    <x v="2"/>
    <x v="828"/>
    <x v="828"/>
    <x v="1"/>
    <x v="2"/>
    <x v="0"/>
    <s v="No"/>
    <s v="Y"/>
    <n v="0"/>
    <n v="-2"/>
    <n v="0"/>
    <x v="41"/>
    <x v="0"/>
    <n v="1"/>
    <n v="1"/>
    <n v="0"/>
    <n v="247"/>
    <n v="8"/>
    <x v="1"/>
    <n v="1"/>
    <n v="3"/>
    <n v="80"/>
    <n v="3"/>
    <n v="1"/>
    <n v="3"/>
    <n v="1904"/>
    <n v="13556"/>
    <n v="1"/>
    <n v="12"/>
    <n v="3"/>
    <n v="4"/>
    <n v="80"/>
    <n v="0"/>
    <n v="0"/>
    <n v="3"/>
    <n v="0"/>
    <n v="0"/>
    <n v="0"/>
    <n v="0"/>
  </r>
  <r>
    <s v="Yes"/>
    <s v="Travel_Rarely"/>
    <x v="2"/>
    <s v="Ex-Employees"/>
    <x v="0"/>
    <x v="3"/>
    <x v="829"/>
    <x v="829"/>
    <x v="0"/>
    <x v="0"/>
    <x v="0"/>
    <s v="Yes"/>
    <s v="Y"/>
    <n v="3"/>
    <n v="-2"/>
    <n v="0"/>
    <x v="3"/>
    <x v="0"/>
    <n v="1"/>
    <n v="1"/>
    <n v="0"/>
    <n v="603"/>
    <n v="9"/>
    <x v="2"/>
    <n v="1"/>
    <n v="1"/>
    <n v="77"/>
    <n v="3"/>
    <n v="2"/>
    <n v="2"/>
    <n v="8224"/>
    <n v="18385"/>
    <n v="0"/>
    <n v="17"/>
    <n v="3"/>
    <n v="1"/>
    <n v="80"/>
    <n v="0"/>
    <n v="6"/>
    <n v="3"/>
    <n v="5"/>
    <n v="2"/>
    <n v="0"/>
    <n v="3"/>
  </r>
  <r>
    <s v="No"/>
    <s v="Travel_Rarely"/>
    <x v="0"/>
    <s v="Current Employees"/>
    <x v="1"/>
    <x v="0"/>
    <x v="830"/>
    <x v="830"/>
    <x v="1"/>
    <x v="2"/>
    <x v="1"/>
    <s v="Yes"/>
    <s v="Y"/>
    <n v="4"/>
    <n v="-2"/>
    <n v="0"/>
    <x v="0"/>
    <x v="1"/>
    <m/>
    <n v="0"/>
    <n v="1"/>
    <n v="167"/>
    <n v="12"/>
    <x v="2"/>
    <n v="1"/>
    <n v="2"/>
    <n v="46"/>
    <n v="3"/>
    <n v="1"/>
    <n v="1"/>
    <n v="4766"/>
    <n v="9051"/>
    <n v="3"/>
    <n v="11"/>
    <n v="3"/>
    <n v="1"/>
    <n v="80"/>
    <n v="1"/>
    <n v="6"/>
    <n v="3"/>
    <n v="1"/>
    <n v="0"/>
    <n v="0"/>
    <n v="0"/>
  </r>
  <r>
    <s v="Yes"/>
    <s v="Travel_Frequently"/>
    <x v="2"/>
    <s v="Ex-Employees"/>
    <x v="1"/>
    <x v="2"/>
    <x v="831"/>
    <x v="831"/>
    <x v="1"/>
    <x v="2"/>
    <x v="1"/>
    <s v="No"/>
    <s v="Y"/>
    <n v="5"/>
    <n v="-2"/>
    <n v="0"/>
    <x v="12"/>
    <x v="0"/>
    <n v="1"/>
    <n v="1"/>
    <n v="0"/>
    <n v="874"/>
    <n v="15"/>
    <x v="3"/>
    <n v="1"/>
    <n v="3"/>
    <n v="72"/>
    <n v="3"/>
    <n v="1"/>
    <n v="3"/>
    <n v="2610"/>
    <n v="6233"/>
    <n v="1"/>
    <n v="12"/>
    <n v="3"/>
    <n v="3"/>
    <n v="80"/>
    <n v="1"/>
    <n v="2"/>
    <n v="2"/>
    <n v="2"/>
    <n v="2"/>
    <n v="2"/>
    <n v="2"/>
  </r>
  <r>
    <s v="No"/>
    <s v="Travel_Rarely"/>
    <x v="0"/>
    <s v="Current Employees"/>
    <x v="1"/>
    <x v="2"/>
    <x v="832"/>
    <x v="832"/>
    <x v="0"/>
    <x v="4"/>
    <x v="2"/>
    <s v="No"/>
    <s v="Y"/>
    <n v="2"/>
    <n v="-2"/>
    <n v="0"/>
    <x v="2"/>
    <x v="1"/>
    <m/>
    <n v="0"/>
    <n v="1"/>
    <n v="367"/>
    <n v="25"/>
    <x v="0"/>
    <n v="1"/>
    <n v="3"/>
    <n v="52"/>
    <n v="2"/>
    <n v="2"/>
    <n v="4"/>
    <n v="5731"/>
    <n v="17171"/>
    <n v="7"/>
    <n v="13"/>
    <n v="3"/>
    <n v="3"/>
    <n v="80"/>
    <n v="2"/>
    <n v="9"/>
    <n v="3"/>
    <n v="6"/>
    <n v="2"/>
    <n v="1"/>
    <n v="3"/>
  </r>
  <r>
    <s v="No"/>
    <s v="Travel_Rarely"/>
    <x v="2"/>
    <s v="Current Employees"/>
    <x v="1"/>
    <x v="0"/>
    <x v="833"/>
    <x v="833"/>
    <x v="1"/>
    <x v="1"/>
    <x v="1"/>
    <s v="No"/>
    <s v="Y"/>
    <n v="0"/>
    <n v="-2"/>
    <n v="0"/>
    <x v="4"/>
    <x v="1"/>
    <m/>
    <n v="0"/>
    <n v="1"/>
    <n v="199"/>
    <n v="6"/>
    <x v="3"/>
    <n v="1"/>
    <n v="4"/>
    <n v="55"/>
    <n v="2"/>
    <n v="1"/>
    <n v="1"/>
    <n v="2539"/>
    <n v="7950"/>
    <n v="1"/>
    <n v="13"/>
    <n v="3"/>
    <n v="3"/>
    <n v="80"/>
    <n v="1"/>
    <n v="4"/>
    <n v="3"/>
    <n v="4"/>
    <n v="2"/>
    <n v="2"/>
    <n v="2"/>
  </r>
  <r>
    <s v="No"/>
    <s v="Travel_Rarely"/>
    <x v="2"/>
    <s v="Current Employees"/>
    <x v="0"/>
    <x v="0"/>
    <x v="834"/>
    <x v="834"/>
    <x v="0"/>
    <x v="0"/>
    <x v="1"/>
    <s v="No"/>
    <s v="Y"/>
    <n v="3"/>
    <n v="-2"/>
    <n v="0"/>
    <x v="13"/>
    <x v="1"/>
    <m/>
    <n v="0"/>
    <n v="1"/>
    <n v="1400"/>
    <n v="9"/>
    <x v="1"/>
    <n v="1"/>
    <n v="2"/>
    <n v="70"/>
    <n v="3"/>
    <n v="2"/>
    <n v="1"/>
    <n v="5714"/>
    <n v="5829"/>
    <n v="1"/>
    <n v="20"/>
    <n v="4"/>
    <n v="1"/>
    <n v="80"/>
    <n v="0"/>
    <n v="6"/>
    <n v="2"/>
    <n v="6"/>
    <n v="5"/>
    <n v="1"/>
    <n v="3"/>
  </r>
  <r>
    <s v="No"/>
    <s v="Travel_Rarely"/>
    <x v="0"/>
    <s v="Current Employees"/>
    <x v="2"/>
    <x v="4"/>
    <x v="835"/>
    <x v="835"/>
    <x v="1"/>
    <x v="8"/>
    <x v="0"/>
    <s v="No"/>
    <s v="Y"/>
    <n v="2"/>
    <n v="-2"/>
    <n v="0"/>
    <x v="10"/>
    <x v="1"/>
    <m/>
    <n v="0"/>
    <n v="1"/>
    <n v="528"/>
    <n v="8"/>
    <x v="2"/>
    <n v="1"/>
    <n v="4"/>
    <n v="100"/>
    <n v="3"/>
    <n v="1"/>
    <n v="4"/>
    <n v="4323"/>
    <n v="7108"/>
    <n v="1"/>
    <n v="17"/>
    <n v="3"/>
    <n v="2"/>
    <n v="80"/>
    <n v="0"/>
    <n v="6"/>
    <n v="1"/>
    <n v="5"/>
    <n v="4"/>
    <n v="1"/>
    <n v="4"/>
  </r>
  <r>
    <s v="Yes"/>
    <s v="Travel_Rarely"/>
    <x v="2"/>
    <s v="Ex-Employees"/>
    <x v="0"/>
    <x v="0"/>
    <x v="836"/>
    <x v="836"/>
    <x v="0"/>
    <x v="0"/>
    <x v="1"/>
    <s v="No"/>
    <s v="Y"/>
    <n v="3"/>
    <n v="-2"/>
    <n v="0"/>
    <x v="11"/>
    <x v="0"/>
    <n v="1"/>
    <n v="1"/>
    <n v="0"/>
    <n v="408"/>
    <n v="23"/>
    <x v="1"/>
    <n v="1"/>
    <n v="4"/>
    <n v="45"/>
    <n v="2"/>
    <n v="3"/>
    <n v="1"/>
    <n v="7336"/>
    <n v="11162"/>
    <n v="1"/>
    <n v="13"/>
    <n v="3"/>
    <n v="1"/>
    <n v="80"/>
    <n v="1"/>
    <n v="11"/>
    <n v="1"/>
    <n v="11"/>
    <n v="8"/>
    <n v="3"/>
    <n v="10"/>
  </r>
  <r>
    <s v="No"/>
    <s v="Travel_Frequently"/>
    <x v="0"/>
    <s v="Current Employees"/>
    <x v="1"/>
    <x v="2"/>
    <x v="837"/>
    <x v="837"/>
    <x v="0"/>
    <x v="7"/>
    <x v="0"/>
    <s v="No"/>
    <s v="Y"/>
    <n v="3"/>
    <n v="-2"/>
    <n v="0"/>
    <x v="32"/>
    <x v="1"/>
    <m/>
    <n v="0"/>
    <n v="1"/>
    <n v="593"/>
    <n v="9"/>
    <x v="2"/>
    <n v="1"/>
    <n v="2"/>
    <n v="88"/>
    <n v="3"/>
    <n v="3"/>
    <n v="3"/>
    <n v="13499"/>
    <n v="13782"/>
    <n v="9"/>
    <n v="17"/>
    <n v="3"/>
    <n v="3"/>
    <n v="80"/>
    <n v="0"/>
    <n v="20"/>
    <n v="2"/>
    <n v="18"/>
    <n v="7"/>
    <n v="2"/>
    <n v="13"/>
  </r>
  <r>
    <s v="Yes"/>
    <s v="Travel_Frequently"/>
    <x v="0"/>
    <s v="Ex-Employees"/>
    <x v="0"/>
    <x v="0"/>
    <x v="838"/>
    <x v="838"/>
    <x v="1"/>
    <x v="0"/>
    <x v="0"/>
    <s v="Yes"/>
    <s v="Y"/>
    <n v="2"/>
    <n v="-2"/>
    <n v="0"/>
    <x v="19"/>
    <x v="0"/>
    <n v="1"/>
    <n v="1"/>
    <n v="0"/>
    <n v="481"/>
    <n v="12"/>
    <x v="3"/>
    <n v="1"/>
    <n v="3"/>
    <n v="44"/>
    <n v="3"/>
    <n v="4"/>
    <n v="1"/>
    <n v="13758"/>
    <n v="2447"/>
    <n v="0"/>
    <n v="12"/>
    <n v="3"/>
    <n v="2"/>
    <n v="80"/>
    <n v="0"/>
    <n v="22"/>
    <n v="2"/>
    <n v="21"/>
    <n v="9"/>
    <n v="13"/>
    <n v="14"/>
  </r>
  <r>
    <s v="No"/>
    <s v="Travel_Rarely"/>
    <x v="0"/>
    <s v="Current Employees"/>
    <x v="0"/>
    <x v="3"/>
    <x v="839"/>
    <x v="839"/>
    <x v="1"/>
    <x v="0"/>
    <x v="0"/>
    <s v="No"/>
    <s v="Y"/>
    <n v="3"/>
    <n v="-2"/>
    <n v="0"/>
    <x v="19"/>
    <x v="1"/>
    <m/>
    <n v="0"/>
    <n v="1"/>
    <n v="647"/>
    <n v="4"/>
    <x v="2"/>
    <n v="1"/>
    <n v="2"/>
    <n v="45"/>
    <n v="3"/>
    <n v="2"/>
    <n v="2"/>
    <n v="5155"/>
    <n v="2253"/>
    <n v="7"/>
    <n v="13"/>
    <n v="3"/>
    <n v="4"/>
    <n v="80"/>
    <n v="0"/>
    <n v="9"/>
    <n v="4"/>
    <n v="6"/>
    <n v="4"/>
    <n v="1"/>
    <n v="5"/>
  </r>
  <r>
    <s v="No"/>
    <s v="Travel_Rarely"/>
    <x v="0"/>
    <s v="Current Employees"/>
    <x v="1"/>
    <x v="2"/>
    <x v="840"/>
    <x v="840"/>
    <x v="1"/>
    <x v="2"/>
    <x v="1"/>
    <s v="No"/>
    <s v="Y"/>
    <n v="2"/>
    <n v="-2"/>
    <n v="0"/>
    <x v="10"/>
    <x v="1"/>
    <m/>
    <n v="0"/>
    <n v="1"/>
    <n v="982"/>
    <n v="1"/>
    <x v="2"/>
    <n v="1"/>
    <n v="4"/>
    <n v="58"/>
    <n v="2"/>
    <n v="1"/>
    <n v="3"/>
    <n v="2258"/>
    <n v="16340"/>
    <n v="6"/>
    <n v="12"/>
    <n v="3"/>
    <n v="2"/>
    <n v="80"/>
    <n v="1"/>
    <n v="10"/>
    <n v="3"/>
    <n v="8"/>
    <n v="0"/>
    <n v="1"/>
    <n v="7"/>
  </r>
  <r>
    <s v="No"/>
    <s v="Travel_Rarely"/>
    <x v="4"/>
    <s v="Current Employees"/>
    <x v="1"/>
    <x v="2"/>
    <x v="841"/>
    <x v="841"/>
    <x v="1"/>
    <x v="2"/>
    <x v="0"/>
    <s v="No"/>
    <s v="Y"/>
    <n v="2"/>
    <n v="-2"/>
    <n v="0"/>
    <x v="17"/>
    <x v="1"/>
    <m/>
    <n v="0"/>
    <n v="1"/>
    <n v="477"/>
    <n v="24"/>
    <x v="3"/>
    <n v="1"/>
    <n v="4"/>
    <n v="49"/>
    <n v="3"/>
    <n v="1"/>
    <n v="2"/>
    <n v="3597"/>
    <n v="6409"/>
    <n v="8"/>
    <n v="22"/>
    <n v="4"/>
    <n v="4"/>
    <n v="80"/>
    <n v="0"/>
    <n v="6"/>
    <n v="3"/>
    <n v="4"/>
    <n v="3"/>
    <n v="1"/>
    <n v="2"/>
  </r>
  <r>
    <s v="Yes"/>
    <s v="Travel_Rarely"/>
    <x v="2"/>
    <s v="Ex-Employees"/>
    <x v="1"/>
    <x v="0"/>
    <x v="842"/>
    <x v="842"/>
    <x v="0"/>
    <x v="2"/>
    <x v="1"/>
    <s v="Yes"/>
    <s v="Y"/>
    <n v="4"/>
    <n v="-2"/>
    <n v="0"/>
    <x v="14"/>
    <x v="0"/>
    <n v="1"/>
    <n v="1"/>
    <n v="0"/>
    <n v="1485"/>
    <n v="12"/>
    <x v="1"/>
    <n v="1"/>
    <n v="3"/>
    <n v="79"/>
    <n v="3"/>
    <n v="1"/>
    <n v="1"/>
    <n v="2515"/>
    <n v="22955"/>
    <n v="1"/>
    <n v="11"/>
    <n v="3"/>
    <n v="4"/>
    <n v="80"/>
    <n v="0"/>
    <n v="1"/>
    <n v="2"/>
    <n v="1"/>
    <n v="1"/>
    <n v="0"/>
    <n v="0"/>
  </r>
  <r>
    <s v="No"/>
    <s v="Travel_Rarely"/>
    <x v="2"/>
    <s v="Current Employees"/>
    <x v="1"/>
    <x v="2"/>
    <x v="843"/>
    <x v="843"/>
    <x v="1"/>
    <x v="2"/>
    <x v="1"/>
    <s v="No"/>
    <s v="Y"/>
    <n v="2"/>
    <n v="-2"/>
    <n v="0"/>
    <x v="25"/>
    <x v="1"/>
    <m/>
    <n v="0"/>
    <n v="1"/>
    <n v="1384"/>
    <n v="3"/>
    <x v="2"/>
    <n v="1"/>
    <n v="1"/>
    <n v="82"/>
    <n v="4"/>
    <n v="1"/>
    <n v="4"/>
    <n v="4420"/>
    <n v="13421"/>
    <n v="1"/>
    <n v="22"/>
    <n v="4"/>
    <n v="2"/>
    <n v="80"/>
    <n v="1"/>
    <n v="8"/>
    <n v="3"/>
    <n v="8"/>
    <n v="7"/>
    <n v="0"/>
    <n v="7"/>
  </r>
  <r>
    <s v="No"/>
    <s v="Travel_Rarely"/>
    <x v="2"/>
    <s v="Current Employees"/>
    <x v="0"/>
    <x v="3"/>
    <x v="844"/>
    <x v="844"/>
    <x v="1"/>
    <x v="0"/>
    <x v="1"/>
    <s v="No"/>
    <s v="Y"/>
    <n v="3"/>
    <n v="-2"/>
    <n v="0"/>
    <x v="7"/>
    <x v="1"/>
    <m/>
    <n v="0"/>
    <n v="1"/>
    <n v="852"/>
    <n v="10"/>
    <x v="3"/>
    <n v="1"/>
    <n v="3"/>
    <n v="72"/>
    <n v="2"/>
    <n v="2"/>
    <n v="2"/>
    <n v="6578"/>
    <n v="2706"/>
    <n v="1"/>
    <n v="18"/>
    <n v="3"/>
    <n v="1"/>
    <n v="80"/>
    <n v="1"/>
    <n v="10"/>
    <n v="3"/>
    <n v="10"/>
    <n v="3"/>
    <n v="1"/>
    <n v="4"/>
  </r>
  <r>
    <s v="No"/>
    <s v="Travel_Frequently"/>
    <x v="0"/>
    <s v="Current Employees"/>
    <x v="1"/>
    <x v="2"/>
    <x v="845"/>
    <x v="845"/>
    <x v="0"/>
    <x v="1"/>
    <x v="1"/>
    <s v="Yes"/>
    <s v="Y"/>
    <n v="3"/>
    <n v="-2"/>
    <n v="0"/>
    <x v="32"/>
    <x v="1"/>
    <m/>
    <n v="0"/>
    <n v="1"/>
    <n v="902"/>
    <n v="26"/>
    <x v="0"/>
    <n v="1"/>
    <n v="3"/>
    <n v="92"/>
    <n v="2"/>
    <n v="2"/>
    <n v="4"/>
    <n v="4422"/>
    <n v="21203"/>
    <n v="3"/>
    <n v="13"/>
    <n v="3"/>
    <n v="4"/>
    <n v="80"/>
    <n v="1"/>
    <n v="16"/>
    <n v="1"/>
    <n v="1"/>
    <n v="1"/>
    <n v="0"/>
    <n v="0"/>
  </r>
  <r>
    <s v="No"/>
    <s v="Travel_Rarely"/>
    <x v="0"/>
    <s v="Current Employees"/>
    <x v="1"/>
    <x v="0"/>
    <x v="846"/>
    <x v="846"/>
    <x v="1"/>
    <x v="3"/>
    <x v="2"/>
    <s v="No"/>
    <s v="Y"/>
    <n v="2"/>
    <n v="-2"/>
    <n v="0"/>
    <x v="10"/>
    <x v="1"/>
    <m/>
    <n v="0"/>
    <n v="1"/>
    <n v="819"/>
    <n v="2"/>
    <x v="3"/>
    <n v="1"/>
    <n v="3"/>
    <n v="44"/>
    <n v="2"/>
    <n v="3"/>
    <n v="1"/>
    <n v="10274"/>
    <n v="19588"/>
    <n v="2"/>
    <n v="18"/>
    <n v="3"/>
    <n v="2"/>
    <n v="80"/>
    <n v="1"/>
    <n v="15"/>
    <n v="4"/>
    <n v="7"/>
    <n v="7"/>
    <n v="6"/>
    <n v="4"/>
  </r>
  <r>
    <s v="No"/>
    <s v="Travel_Frequently"/>
    <x v="2"/>
    <s v="Current Employees"/>
    <x v="1"/>
    <x v="2"/>
    <x v="847"/>
    <x v="847"/>
    <x v="1"/>
    <x v="4"/>
    <x v="0"/>
    <s v="No"/>
    <s v="Y"/>
    <n v="3"/>
    <n v="-2"/>
    <n v="0"/>
    <x v="13"/>
    <x v="1"/>
    <m/>
    <n v="0"/>
    <n v="1"/>
    <n v="669"/>
    <n v="1"/>
    <x v="3"/>
    <n v="1"/>
    <n v="4"/>
    <n v="97"/>
    <n v="2"/>
    <n v="2"/>
    <n v="3"/>
    <n v="5343"/>
    <n v="25755"/>
    <n v="0"/>
    <n v="20"/>
    <n v="4"/>
    <n v="3"/>
    <n v="80"/>
    <n v="0"/>
    <n v="14"/>
    <n v="3"/>
    <n v="13"/>
    <n v="9"/>
    <n v="4"/>
    <n v="9"/>
  </r>
  <r>
    <s v="No"/>
    <s v="Travel_Frequently"/>
    <x v="0"/>
    <s v="Current Employees"/>
    <x v="1"/>
    <x v="1"/>
    <x v="848"/>
    <x v="848"/>
    <x v="1"/>
    <x v="2"/>
    <x v="1"/>
    <s v="No"/>
    <s v="Y"/>
    <n v="2"/>
    <n v="-2"/>
    <n v="0"/>
    <x v="10"/>
    <x v="1"/>
    <m/>
    <n v="0"/>
    <n v="1"/>
    <n v="636"/>
    <n v="4"/>
    <x v="2"/>
    <n v="1"/>
    <n v="4"/>
    <n v="47"/>
    <n v="2"/>
    <n v="1"/>
    <n v="4"/>
    <n v="2376"/>
    <n v="26537"/>
    <n v="1"/>
    <n v="13"/>
    <n v="3"/>
    <n v="2"/>
    <n v="80"/>
    <n v="1"/>
    <n v="2"/>
    <n v="4"/>
    <n v="2"/>
    <n v="2"/>
    <n v="2"/>
    <n v="2"/>
  </r>
  <r>
    <s v="Yes"/>
    <s v="Travel_Rarely"/>
    <x v="0"/>
    <s v="Ex-Employees"/>
    <x v="0"/>
    <x v="3"/>
    <x v="849"/>
    <x v="849"/>
    <x v="0"/>
    <x v="0"/>
    <x v="0"/>
    <s v="No"/>
    <s v="Y"/>
    <n v="2"/>
    <n v="-2"/>
    <n v="0"/>
    <x v="23"/>
    <x v="0"/>
    <n v="1"/>
    <n v="1"/>
    <n v="0"/>
    <n v="1372"/>
    <n v="9"/>
    <x v="3"/>
    <n v="1"/>
    <n v="1"/>
    <n v="85"/>
    <n v="1"/>
    <n v="2"/>
    <n v="2"/>
    <n v="5346"/>
    <n v="9489"/>
    <n v="8"/>
    <n v="13"/>
    <n v="3"/>
    <n v="2"/>
    <n v="80"/>
    <n v="0"/>
    <n v="7"/>
    <n v="2"/>
    <n v="4"/>
    <n v="3"/>
    <n v="1"/>
    <n v="3"/>
  </r>
  <r>
    <s v="No"/>
    <s v="Non-Travel"/>
    <x v="2"/>
    <s v="Current Employees"/>
    <x v="0"/>
    <x v="0"/>
    <x v="850"/>
    <x v="850"/>
    <x v="0"/>
    <x v="6"/>
    <x v="2"/>
    <s v="No"/>
    <s v="Y"/>
    <n v="3"/>
    <n v="-2"/>
    <n v="0"/>
    <x v="5"/>
    <x v="1"/>
    <m/>
    <n v="0"/>
    <n v="1"/>
    <n v="862"/>
    <n v="2"/>
    <x v="1"/>
    <n v="1"/>
    <n v="3"/>
    <n v="76"/>
    <n v="3"/>
    <n v="1"/>
    <n v="1"/>
    <n v="2827"/>
    <n v="14947"/>
    <n v="1"/>
    <n v="12"/>
    <n v="3"/>
    <n v="3"/>
    <n v="80"/>
    <n v="3"/>
    <n v="1"/>
    <n v="3"/>
    <n v="1"/>
    <n v="0"/>
    <n v="0"/>
    <n v="0"/>
  </r>
  <r>
    <s v="No"/>
    <s v="Travel_Rarely"/>
    <x v="3"/>
    <s v="Current Employees"/>
    <x v="1"/>
    <x v="4"/>
    <x v="851"/>
    <x v="851"/>
    <x v="0"/>
    <x v="5"/>
    <x v="2"/>
    <s v="No"/>
    <s v="Y"/>
    <n v="2"/>
    <n v="-2"/>
    <n v="0"/>
    <x v="29"/>
    <x v="1"/>
    <m/>
    <n v="0"/>
    <n v="1"/>
    <n v="718"/>
    <n v="4"/>
    <x v="2"/>
    <n v="1"/>
    <n v="4"/>
    <n v="92"/>
    <n v="3"/>
    <n v="5"/>
    <n v="4"/>
    <n v="19943"/>
    <n v="18575"/>
    <n v="4"/>
    <n v="13"/>
    <n v="3"/>
    <n v="4"/>
    <n v="80"/>
    <n v="1"/>
    <n v="28"/>
    <n v="3"/>
    <n v="5"/>
    <n v="2"/>
    <n v="4"/>
    <n v="2"/>
  </r>
  <r>
    <s v="No"/>
    <s v="Travel_Rarely"/>
    <x v="2"/>
    <s v="Current Employees"/>
    <x v="1"/>
    <x v="2"/>
    <x v="852"/>
    <x v="852"/>
    <x v="0"/>
    <x v="2"/>
    <x v="1"/>
    <s v="No"/>
    <s v="Y"/>
    <n v="5"/>
    <n v="-2"/>
    <n v="0"/>
    <x v="11"/>
    <x v="1"/>
    <m/>
    <n v="0"/>
    <n v="1"/>
    <n v="1401"/>
    <n v="6"/>
    <x v="1"/>
    <n v="1"/>
    <n v="2"/>
    <n v="54"/>
    <n v="3"/>
    <n v="1"/>
    <n v="4"/>
    <n v="3131"/>
    <n v="26342"/>
    <n v="1"/>
    <n v="13"/>
    <n v="3"/>
    <n v="1"/>
    <n v="80"/>
    <n v="1"/>
    <n v="10"/>
    <n v="3"/>
    <n v="10"/>
    <n v="8"/>
    <n v="0"/>
    <n v="8"/>
  </r>
  <r>
    <s v="No"/>
    <s v="Travel_Rarely"/>
    <x v="4"/>
    <s v="Current Employees"/>
    <x v="1"/>
    <x v="0"/>
    <x v="853"/>
    <x v="853"/>
    <x v="1"/>
    <x v="1"/>
    <x v="0"/>
    <s v="No"/>
    <s v="Y"/>
    <n v="4"/>
    <n v="-2"/>
    <n v="0"/>
    <x v="37"/>
    <x v="1"/>
    <m/>
    <n v="0"/>
    <n v="1"/>
    <n v="645"/>
    <n v="9"/>
    <x v="0"/>
    <n v="1"/>
    <n v="3"/>
    <n v="54"/>
    <n v="3"/>
    <n v="1"/>
    <n v="1"/>
    <n v="2552"/>
    <n v="7172"/>
    <n v="1"/>
    <n v="25"/>
    <n v="4"/>
    <n v="3"/>
    <n v="80"/>
    <n v="0"/>
    <n v="1"/>
    <n v="3"/>
    <n v="1"/>
    <n v="1"/>
    <n v="0"/>
    <n v="0"/>
  </r>
  <r>
    <s v="No"/>
    <s v="Travel_Rarely"/>
    <x v="1"/>
    <s v="Current Employees"/>
    <x v="1"/>
    <x v="2"/>
    <x v="854"/>
    <x v="854"/>
    <x v="0"/>
    <x v="1"/>
    <x v="1"/>
    <s v="Yes"/>
    <s v="Y"/>
    <n v="2"/>
    <n v="-2"/>
    <n v="0"/>
    <x v="28"/>
    <x v="1"/>
    <m/>
    <n v="0"/>
    <n v="1"/>
    <n v="1457"/>
    <n v="7"/>
    <x v="3"/>
    <n v="1"/>
    <n v="1"/>
    <n v="83"/>
    <n v="3"/>
    <n v="1"/>
    <n v="3"/>
    <n v="4477"/>
    <n v="20100"/>
    <n v="4"/>
    <n v="19"/>
    <n v="3"/>
    <n v="3"/>
    <n v="80"/>
    <n v="1"/>
    <n v="7"/>
    <n v="2"/>
    <n v="3"/>
    <n v="2"/>
    <n v="0"/>
    <n v="2"/>
  </r>
  <r>
    <s v="No"/>
    <s v="Travel_Rarely"/>
    <x v="0"/>
    <s v="Current Employees"/>
    <x v="1"/>
    <x v="0"/>
    <x v="855"/>
    <x v="855"/>
    <x v="0"/>
    <x v="3"/>
    <x v="1"/>
    <s v="No"/>
    <s v="Y"/>
    <n v="2"/>
    <n v="-2"/>
    <n v="0"/>
    <x v="2"/>
    <x v="1"/>
    <m/>
    <n v="0"/>
    <n v="1"/>
    <n v="977"/>
    <n v="1"/>
    <x v="3"/>
    <n v="1"/>
    <n v="4"/>
    <n v="56"/>
    <n v="2"/>
    <n v="2"/>
    <n v="1"/>
    <n v="6474"/>
    <n v="9961"/>
    <n v="1"/>
    <n v="13"/>
    <n v="3"/>
    <n v="2"/>
    <n v="80"/>
    <n v="1"/>
    <n v="14"/>
    <n v="2"/>
    <n v="14"/>
    <n v="8"/>
    <n v="3"/>
    <n v="11"/>
  </r>
  <r>
    <s v="No"/>
    <s v="Travel_Rarely"/>
    <x v="4"/>
    <s v="Current Employees"/>
    <x v="1"/>
    <x v="0"/>
    <x v="856"/>
    <x v="856"/>
    <x v="1"/>
    <x v="2"/>
    <x v="0"/>
    <s v="No"/>
    <s v="Y"/>
    <n v="2"/>
    <n v="-2"/>
    <n v="0"/>
    <x v="35"/>
    <x v="1"/>
    <m/>
    <n v="0"/>
    <n v="1"/>
    <n v="805"/>
    <n v="3"/>
    <x v="3"/>
    <n v="1"/>
    <n v="1"/>
    <n v="87"/>
    <n v="2"/>
    <n v="1"/>
    <n v="1"/>
    <n v="3033"/>
    <n v="12828"/>
    <n v="1"/>
    <n v="12"/>
    <n v="3"/>
    <n v="1"/>
    <n v="80"/>
    <n v="0"/>
    <n v="2"/>
    <n v="2"/>
    <n v="2"/>
    <n v="2"/>
    <n v="1"/>
    <n v="2"/>
  </r>
  <r>
    <s v="Yes"/>
    <s v="Travel_Rarely"/>
    <x v="0"/>
    <s v="Ex-Employees"/>
    <x v="1"/>
    <x v="0"/>
    <x v="857"/>
    <x v="857"/>
    <x v="1"/>
    <x v="1"/>
    <x v="0"/>
    <s v="Yes"/>
    <s v="Y"/>
    <n v="4"/>
    <n v="-2"/>
    <n v="0"/>
    <x v="20"/>
    <x v="0"/>
    <n v="1"/>
    <n v="1"/>
    <n v="0"/>
    <n v="1097"/>
    <n v="10"/>
    <x v="2"/>
    <n v="1"/>
    <n v="3"/>
    <n v="96"/>
    <n v="3"/>
    <n v="1"/>
    <n v="1"/>
    <n v="2936"/>
    <n v="10826"/>
    <n v="1"/>
    <n v="11"/>
    <n v="3"/>
    <n v="3"/>
    <n v="80"/>
    <n v="0"/>
    <n v="6"/>
    <n v="3"/>
    <n v="6"/>
    <n v="4"/>
    <n v="0"/>
    <n v="2"/>
  </r>
  <r>
    <s v="No"/>
    <s v="Travel_Rarely"/>
    <x v="1"/>
    <s v="Current Employees"/>
    <x v="1"/>
    <x v="2"/>
    <x v="858"/>
    <x v="858"/>
    <x v="0"/>
    <x v="5"/>
    <x v="2"/>
    <s v="No"/>
    <s v="Y"/>
    <n v="6"/>
    <n v="-2"/>
    <n v="0"/>
    <x v="16"/>
    <x v="1"/>
    <m/>
    <n v="0"/>
    <n v="1"/>
    <n v="1223"/>
    <n v="7"/>
    <x v="0"/>
    <n v="1"/>
    <n v="4"/>
    <n v="50"/>
    <n v="3"/>
    <n v="5"/>
    <n v="3"/>
    <n v="18606"/>
    <n v="18640"/>
    <n v="3"/>
    <n v="18"/>
    <n v="3"/>
    <n v="2"/>
    <n v="80"/>
    <n v="1"/>
    <n v="26"/>
    <n v="3"/>
    <n v="7"/>
    <n v="7"/>
    <n v="4"/>
    <n v="7"/>
  </r>
  <r>
    <s v="No"/>
    <s v="Travel_Rarely"/>
    <x v="2"/>
    <s v="Current Employees"/>
    <x v="1"/>
    <x v="0"/>
    <x v="859"/>
    <x v="859"/>
    <x v="0"/>
    <x v="1"/>
    <x v="1"/>
    <s v="Yes"/>
    <s v="Y"/>
    <n v="2"/>
    <n v="-2"/>
    <n v="0"/>
    <x v="11"/>
    <x v="1"/>
    <m/>
    <n v="0"/>
    <n v="1"/>
    <n v="942"/>
    <n v="15"/>
    <x v="1"/>
    <n v="1"/>
    <n v="2"/>
    <n v="69"/>
    <n v="1"/>
    <n v="1"/>
    <n v="1"/>
    <n v="2168"/>
    <n v="26933"/>
    <n v="0"/>
    <n v="18"/>
    <n v="3"/>
    <n v="1"/>
    <n v="80"/>
    <n v="1"/>
    <n v="6"/>
    <n v="2"/>
    <n v="5"/>
    <n v="4"/>
    <n v="1"/>
    <n v="3"/>
  </r>
  <r>
    <s v="Yes"/>
    <s v="Travel_Frequently"/>
    <x v="4"/>
    <s v="Ex-Employees"/>
    <x v="1"/>
    <x v="0"/>
    <x v="860"/>
    <x v="860"/>
    <x v="1"/>
    <x v="1"/>
    <x v="1"/>
    <s v="Yes"/>
    <s v="Y"/>
    <n v="5"/>
    <n v="-2"/>
    <n v="0"/>
    <x v="15"/>
    <x v="0"/>
    <n v="1"/>
    <n v="1"/>
    <n v="0"/>
    <n v="1256"/>
    <n v="3"/>
    <x v="2"/>
    <n v="1"/>
    <n v="3"/>
    <n v="48"/>
    <n v="2"/>
    <n v="1"/>
    <n v="1"/>
    <n v="2853"/>
    <n v="4223"/>
    <n v="0"/>
    <n v="11"/>
    <n v="3"/>
    <n v="2"/>
    <n v="80"/>
    <n v="1"/>
    <n v="1"/>
    <n v="3"/>
    <n v="0"/>
    <n v="0"/>
    <n v="0"/>
    <n v="0"/>
  </r>
  <r>
    <s v="No"/>
    <s v="Travel_Rarely"/>
    <x v="1"/>
    <s v="Current Employees"/>
    <x v="0"/>
    <x v="3"/>
    <x v="861"/>
    <x v="861"/>
    <x v="0"/>
    <x v="5"/>
    <x v="1"/>
    <s v="No"/>
    <s v="Y"/>
    <n v="2"/>
    <n v="-2"/>
    <n v="0"/>
    <x v="21"/>
    <x v="1"/>
    <m/>
    <n v="0"/>
    <n v="1"/>
    <n v="1402"/>
    <n v="2"/>
    <x v="3"/>
    <n v="1"/>
    <n v="3"/>
    <n v="69"/>
    <n v="3"/>
    <n v="4"/>
    <n v="2"/>
    <n v="17048"/>
    <n v="24097"/>
    <n v="8"/>
    <n v="23"/>
    <n v="4"/>
    <n v="1"/>
    <n v="80"/>
    <n v="0"/>
    <n v="28"/>
    <n v="3"/>
    <n v="26"/>
    <n v="15"/>
    <n v="15"/>
    <n v="9"/>
  </r>
  <r>
    <s v="No"/>
    <s v="Non-Travel"/>
    <x v="0"/>
    <s v="Current Employees"/>
    <x v="1"/>
    <x v="0"/>
    <x v="862"/>
    <x v="862"/>
    <x v="1"/>
    <x v="1"/>
    <x v="0"/>
    <s v="No"/>
    <s v="Y"/>
    <n v="3"/>
    <n v="-2"/>
    <n v="0"/>
    <x v="20"/>
    <x v="1"/>
    <m/>
    <n v="0"/>
    <n v="1"/>
    <n v="111"/>
    <n v="17"/>
    <x v="3"/>
    <n v="1"/>
    <n v="4"/>
    <n v="74"/>
    <n v="1"/>
    <n v="1"/>
    <n v="1"/>
    <n v="2290"/>
    <n v="4279"/>
    <n v="2"/>
    <n v="13"/>
    <n v="3"/>
    <n v="4"/>
    <n v="80"/>
    <n v="0"/>
    <n v="6"/>
    <n v="3"/>
    <n v="0"/>
    <n v="0"/>
    <n v="0"/>
    <n v="0"/>
  </r>
  <r>
    <s v="No"/>
    <s v="Travel_Rarely"/>
    <x v="2"/>
    <s v="Current Employees"/>
    <x v="2"/>
    <x v="5"/>
    <x v="863"/>
    <x v="863"/>
    <x v="1"/>
    <x v="8"/>
    <x v="1"/>
    <s v="No"/>
    <s v="Y"/>
    <n v="2"/>
    <n v="-2"/>
    <n v="0"/>
    <x v="3"/>
    <x v="1"/>
    <m/>
    <n v="0"/>
    <n v="1"/>
    <n v="147"/>
    <n v="2"/>
    <x v="3"/>
    <n v="1"/>
    <n v="2"/>
    <n v="99"/>
    <n v="3"/>
    <n v="1"/>
    <n v="3"/>
    <n v="3600"/>
    <n v="8429"/>
    <n v="1"/>
    <n v="13"/>
    <n v="3"/>
    <n v="4"/>
    <n v="80"/>
    <n v="1"/>
    <n v="5"/>
    <n v="3"/>
    <n v="5"/>
    <n v="4"/>
    <n v="1"/>
    <n v="4"/>
  </r>
  <r>
    <s v="Yes"/>
    <s v="Non-Travel"/>
    <x v="0"/>
    <s v="Ex-Employees"/>
    <x v="1"/>
    <x v="0"/>
    <x v="864"/>
    <x v="864"/>
    <x v="1"/>
    <x v="1"/>
    <x v="2"/>
    <s v="No"/>
    <s v="Y"/>
    <n v="2"/>
    <n v="-2"/>
    <n v="0"/>
    <x v="0"/>
    <x v="0"/>
    <n v="1"/>
    <n v="1"/>
    <n v="0"/>
    <n v="906"/>
    <n v="5"/>
    <x v="0"/>
    <n v="1"/>
    <n v="1"/>
    <n v="95"/>
    <n v="2"/>
    <n v="1"/>
    <n v="1"/>
    <n v="2107"/>
    <n v="20293"/>
    <n v="6"/>
    <n v="17"/>
    <n v="3"/>
    <n v="1"/>
    <n v="80"/>
    <n v="1"/>
    <n v="5"/>
    <n v="1"/>
    <n v="1"/>
    <n v="0"/>
    <n v="0"/>
    <n v="0"/>
  </r>
  <r>
    <s v="No"/>
    <s v="Travel_Rarely"/>
    <x v="2"/>
    <s v="Current Employees"/>
    <x v="0"/>
    <x v="0"/>
    <x v="865"/>
    <x v="865"/>
    <x v="1"/>
    <x v="0"/>
    <x v="2"/>
    <s v="No"/>
    <s v="Y"/>
    <n v="3"/>
    <n v="-2"/>
    <n v="0"/>
    <x v="7"/>
    <x v="1"/>
    <m/>
    <n v="0"/>
    <n v="1"/>
    <n v="1329"/>
    <n v="29"/>
    <x v="2"/>
    <n v="1"/>
    <n v="3"/>
    <n v="61"/>
    <n v="3"/>
    <n v="2"/>
    <n v="1"/>
    <n v="4115"/>
    <n v="13192"/>
    <n v="8"/>
    <n v="19"/>
    <n v="3"/>
    <n v="3"/>
    <n v="80"/>
    <n v="3"/>
    <n v="8"/>
    <n v="3"/>
    <n v="4"/>
    <n v="3"/>
    <n v="0"/>
    <n v="3"/>
  </r>
  <r>
    <s v="No"/>
    <s v="Travel_Frequently"/>
    <x v="0"/>
    <s v="Current Employees"/>
    <x v="0"/>
    <x v="2"/>
    <x v="866"/>
    <x v="866"/>
    <x v="1"/>
    <x v="0"/>
    <x v="1"/>
    <s v="No"/>
    <s v="Y"/>
    <n v="2"/>
    <n v="-2"/>
    <n v="0"/>
    <x v="32"/>
    <x v="1"/>
    <m/>
    <n v="0"/>
    <n v="1"/>
    <n v="1184"/>
    <n v="2"/>
    <x v="2"/>
    <n v="1"/>
    <n v="2"/>
    <n v="62"/>
    <n v="3"/>
    <n v="2"/>
    <n v="2"/>
    <n v="4327"/>
    <n v="25440"/>
    <n v="5"/>
    <n v="12"/>
    <n v="3"/>
    <n v="4"/>
    <n v="80"/>
    <n v="3"/>
    <n v="5"/>
    <n v="3"/>
    <n v="0"/>
    <n v="0"/>
    <n v="0"/>
    <n v="0"/>
  </r>
  <r>
    <s v="No"/>
    <s v="Travel_Frequently"/>
    <x v="1"/>
    <s v="Current Employees"/>
    <x v="1"/>
    <x v="2"/>
    <x v="867"/>
    <x v="867"/>
    <x v="0"/>
    <x v="5"/>
    <x v="1"/>
    <s v="No"/>
    <s v="Y"/>
    <n v="3"/>
    <n v="-2"/>
    <n v="0"/>
    <x v="24"/>
    <x v="1"/>
    <m/>
    <n v="0"/>
    <n v="1"/>
    <n v="1421"/>
    <n v="2"/>
    <x v="3"/>
    <n v="1"/>
    <n v="4"/>
    <n v="30"/>
    <n v="3"/>
    <n v="4"/>
    <n v="3"/>
    <n v="17856"/>
    <n v="9490"/>
    <n v="2"/>
    <n v="22"/>
    <n v="4"/>
    <n v="3"/>
    <n v="80"/>
    <n v="1"/>
    <n v="32"/>
    <n v="3"/>
    <n v="2"/>
    <n v="2"/>
    <n v="2"/>
    <n v="2"/>
  </r>
  <r>
    <s v="No"/>
    <s v="Travel_Rarely"/>
    <x v="2"/>
    <s v="Current Employees"/>
    <x v="1"/>
    <x v="2"/>
    <x v="868"/>
    <x v="868"/>
    <x v="1"/>
    <x v="2"/>
    <x v="1"/>
    <s v="No"/>
    <s v="Y"/>
    <n v="2"/>
    <n v="-2"/>
    <n v="0"/>
    <x v="14"/>
    <x v="1"/>
    <m/>
    <n v="0"/>
    <n v="1"/>
    <n v="1179"/>
    <n v="19"/>
    <x v="2"/>
    <n v="1"/>
    <n v="4"/>
    <n v="78"/>
    <n v="2"/>
    <n v="1"/>
    <n v="3"/>
    <n v="3196"/>
    <n v="12449"/>
    <n v="1"/>
    <n v="12"/>
    <n v="3"/>
    <n v="3"/>
    <n v="80"/>
    <n v="3"/>
    <n v="6"/>
    <n v="3"/>
    <n v="6"/>
    <n v="5"/>
    <n v="3"/>
    <n v="3"/>
  </r>
  <r>
    <s v="No"/>
    <s v="Travel_Rarely"/>
    <x v="1"/>
    <s v="Current Employees"/>
    <x v="1"/>
    <x v="0"/>
    <x v="869"/>
    <x v="869"/>
    <x v="1"/>
    <x v="7"/>
    <x v="1"/>
    <s v="No"/>
    <s v="Y"/>
    <n v="2"/>
    <n v="-2"/>
    <n v="0"/>
    <x v="21"/>
    <x v="1"/>
    <m/>
    <n v="0"/>
    <n v="1"/>
    <n v="1450"/>
    <n v="15"/>
    <x v="0"/>
    <n v="1"/>
    <n v="4"/>
    <n v="52"/>
    <n v="3"/>
    <n v="5"/>
    <n v="1"/>
    <n v="19081"/>
    <n v="10849"/>
    <n v="5"/>
    <n v="11"/>
    <n v="3"/>
    <n v="1"/>
    <n v="80"/>
    <n v="1"/>
    <n v="25"/>
    <n v="3"/>
    <n v="4"/>
    <n v="2"/>
    <n v="0"/>
    <n v="3"/>
  </r>
  <r>
    <s v="No"/>
    <s v="Travel_Rarely"/>
    <x v="0"/>
    <s v="Current Employees"/>
    <x v="0"/>
    <x v="0"/>
    <x v="870"/>
    <x v="870"/>
    <x v="1"/>
    <x v="0"/>
    <x v="1"/>
    <s v="Yes"/>
    <s v="Y"/>
    <n v="2"/>
    <n v="-2"/>
    <n v="0"/>
    <x v="10"/>
    <x v="1"/>
    <m/>
    <n v="0"/>
    <n v="1"/>
    <n v="1361"/>
    <n v="17"/>
    <x v="2"/>
    <n v="1"/>
    <n v="3"/>
    <n v="94"/>
    <n v="3"/>
    <n v="2"/>
    <n v="1"/>
    <n v="8966"/>
    <n v="21026"/>
    <n v="3"/>
    <n v="15"/>
    <n v="3"/>
    <n v="4"/>
    <n v="80"/>
    <n v="3"/>
    <n v="15"/>
    <n v="3"/>
    <n v="7"/>
    <n v="7"/>
    <n v="1"/>
    <n v="7"/>
  </r>
  <r>
    <s v="Yes"/>
    <s v="Travel_Rarely"/>
    <x v="4"/>
    <s v="Ex-Employees"/>
    <x v="1"/>
    <x v="0"/>
    <x v="871"/>
    <x v="871"/>
    <x v="0"/>
    <x v="2"/>
    <x v="1"/>
    <s v="No"/>
    <s v="Y"/>
    <n v="3"/>
    <n v="-2"/>
    <n v="0"/>
    <x v="17"/>
    <x v="0"/>
    <n v="1"/>
    <n v="1"/>
    <n v="0"/>
    <n v="984"/>
    <n v="17"/>
    <x v="0"/>
    <n v="1"/>
    <n v="4"/>
    <n v="97"/>
    <n v="3"/>
    <n v="1"/>
    <n v="1"/>
    <n v="2210"/>
    <n v="3372"/>
    <n v="1"/>
    <n v="13"/>
    <n v="3"/>
    <n v="1"/>
    <n v="80"/>
    <n v="1"/>
    <n v="1"/>
    <n v="1"/>
    <n v="1"/>
    <n v="0"/>
    <n v="0"/>
    <n v="0"/>
  </r>
  <r>
    <s v="No"/>
    <s v="Travel_Frequently"/>
    <x v="2"/>
    <s v="Current Employees"/>
    <x v="0"/>
    <x v="2"/>
    <x v="872"/>
    <x v="872"/>
    <x v="0"/>
    <x v="0"/>
    <x v="1"/>
    <s v="No"/>
    <s v="Y"/>
    <n v="3"/>
    <n v="-2"/>
    <n v="0"/>
    <x v="3"/>
    <x v="1"/>
    <m/>
    <n v="0"/>
    <n v="1"/>
    <n v="1146"/>
    <n v="25"/>
    <x v="3"/>
    <n v="1"/>
    <n v="2"/>
    <n v="82"/>
    <n v="3"/>
    <n v="2"/>
    <n v="3"/>
    <n v="4539"/>
    <n v="4905"/>
    <n v="1"/>
    <n v="12"/>
    <n v="3"/>
    <n v="1"/>
    <n v="80"/>
    <n v="1"/>
    <n v="10"/>
    <n v="2"/>
    <n v="10"/>
    <n v="7"/>
    <n v="0"/>
    <n v="1"/>
  </r>
  <r>
    <s v="No"/>
    <s v="Travel_Rarely"/>
    <x v="0"/>
    <s v="Current Employees"/>
    <x v="1"/>
    <x v="0"/>
    <x v="873"/>
    <x v="873"/>
    <x v="1"/>
    <x v="2"/>
    <x v="2"/>
    <s v="No"/>
    <s v="Y"/>
    <n v="4"/>
    <n v="-2"/>
    <n v="0"/>
    <x v="9"/>
    <x v="1"/>
    <m/>
    <n v="0"/>
    <n v="1"/>
    <n v="917"/>
    <n v="6"/>
    <x v="2"/>
    <n v="1"/>
    <n v="3"/>
    <n v="60"/>
    <n v="1"/>
    <n v="1"/>
    <n v="1"/>
    <n v="2741"/>
    <n v="6865"/>
    <n v="1"/>
    <n v="14"/>
    <n v="3"/>
    <n v="3"/>
    <n v="80"/>
    <n v="1"/>
    <n v="7"/>
    <n v="3"/>
    <n v="7"/>
    <n v="7"/>
    <n v="1"/>
    <n v="7"/>
  </r>
  <r>
    <s v="No"/>
    <s v="Travel_Rarely"/>
    <x v="2"/>
    <s v="Current Employees"/>
    <x v="1"/>
    <x v="0"/>
    <x v="874"/>
    <x v="874"/>
    <x v="1"/>
    <x v="2"/>
    <x v="2"/>
    <s v="No"/>
    <s v="Y"/>
    <n v="4"/>
    <n v="-2"/>
    <n v="0"/>
    <x v="7"/>
    <x v="1"/>
    <m/>
    <n v="0"/>
    <n v="1"/>
    <n v="853"/>
    <n v="7"/>
    <x v="2"/>
    <n v="1"/>
    <n v="3"/>
    <n v="49"/>
    <n v="3"/>
    <n v="2"/>
    <n v="1"/>
    <n v="3491"/>
    <n v="11309"/>
    <n v="1"/>
    <n v="13"/>
    <n v="3"/>
    <n v="1"/>
    <n v="80"/>
    <n v="3"/>
    <n v="10"/>
    <n v="2"/>
    <n v="10"/>
    <n v="7"/>
    <n v="8"/>
    <n v="9"/>
  </r>
  <r>
    <s v="No"/>
    <s v="Travel_Rarely"/>
    <x v="0"/>
    <s v="Current Employees"/>
    <x v="1"/>
    <x v="1"/>
    <x v="875"/>
    <x v="875"/>
    <x v="1"/>
    <x v="1"/>
    <x v="0"/>
    <s v="No"/>
    <s v="Y"/>
    <n v="3"/>
    <n v="-2"/>
    <n v="0"/>
    <x v="20"/>
    <x v="1"/>
    <m/>
    <n v="0"/>
    <n v="1"/>
    <n v="200"/>
    <n v="29"/>
    <x v="2"/>
    <n v="1"/>
    <n v="4"/>
    <n v="32"/>
    <n v="3"/>
    <n v="2"/>
    <n v="4"/>
    <n v="4541"/>
    <n v="7744"/>
    <n v="1"/>
    <n v="25"/>
    <n v="4"/>
    <n v="2"/>
    <n v="80"/>
    <n v="0"/>
    <n v="20"/>
    <n v="3"/>
    <n v="20"/>
    <n v="11"/>
    <n v="13"/>
    <n v="17"/>
  </r>
  <r>
    <s v="No"/>
    <s v="Travel_Rarely"/>
    <x v="4"/>
    <s v="Current Employees"/>
    <x v="0"/>
    <x v="3"/>
    <x v="876"/>
    <x v="876"/>
    <x v="1"/>
    <x v="6"/>
    <x v="0"/>
    <s v="No"/>
    <s v="Y"/>
    <n v="2"/>
    <n v="-2"/>
    <n v="0"/>
    <x v="35"/>
    <x v="1"/>
    <m/>
    <n v="0"/>
    <n v="1"/>
    <n v="654"/>
    <n v="21"/>
    <x v="3"/>
    <n v="1"/>
    <n v="3"/>
    <n v="43"/>
    <n v="4"/>
    <n v="1"/>
    <n v="2"/>
    <n v="2678"/>
    <n v="5050"/>
    <n v="1"/>
    <n v="17"/>
    <n v="3"/>
    <n v="4"/>
    <n v="80"/>
    <n v="0"/>
    <n v="2"/>
    <n v="3"/>
    <n v="2"/>
    <n v="1"/>
    <n v="2"/>
    <n v="2"/>
  </r>
  <r>
    <s v="No"/>
    <s v="Travel_Rarely"/>
    <x v="1"/>
    <s v="Current Employees"/>
    <x v="1"/>
    <x v="4"/>
    <x v="877"/>
    <x v="877"/>
    <x v="1"/>
    <x v="3"/>
    <x v="2"/>
    <s v="No"/>
    <s v="Y"/>
    <n v="3"/>
    <n v="-2"/>
    <n v="0"/>
    <x v="21"/>
    <x v="1"/>
    <m/>
    <n v="0"/>
    <n v="1"/>
    <n v="150"/>
    <n v="2"/>
    <x v="2"/>
    <n v="1"/>
    <n v="4"/>
    <n v="60"/>
    <n v="3"/>
    <n v="2"/>
    <n v="4"/>
    <n v="7379"/>
    <n v="17433"/>
    <n v="2"/>
    <n v="11"/>
    <n v="3"/>
    <n v="3"/>
    <n v="80"/>
    <n v="1"/>
    <n v="12"/>
    <n v="2"/>
    <n v="6"/>
    <n v="3"/>
    <n v="1"/>
    <n v="4"/>
  </r>
  <r>
    <s v="No"/>
    <s v="Non-Travel"/>
    <x v="0"/>
    <s v="Current Employees"/>
    <x v="2"/>
    <x v="2"/>
    <x v="878"/>
    <x v="878"/>
    <x v="1"/>
    <x v="8"/>
    <x v="1"/>
    <s v="No"/>
    <s v="Y"/>
    <n v="3"/>
    <n v="-2"/>
    <n v="0"/>
    <x v="19"/>
    <x v="1"/>
    <m/>
    <n v="0"/>
    <n v="1"/>
    <n v="179"/>
    <n v="2"/>
    <x v="4"/>
    <n v="1"/>
    <n v="4"/>
    <n v="79"/>
    <n v="4"/>
    <n v="2"/>
    <n v="3"/>
    <n v="6272"/>
    <n v="12858"/>
    <n v="7"/>
    <n v="16"/>
    <n v="3"/>
    <n v="1"/>
    <n v="80"/>
    <n v="1"/>
    <n v="10"/>
    <n v="4"/>
    <n v="4"/>
    <n v="3"/>
    <n v="0"/>
    <n v="3"/>
  </r>
  <r>
    <s v="No"/>
    <s v="Travel_Rarely"/>
    <x v="3"/>
    <s v="Current Employees"/>
    <x v="0"/>
    <x v="3"/>
    <x v="879"/>
    <x v="879"/>
    <x v="1"/>
    <x v="0"/>
    <x v="2"/>
    <s v="Yes"/>
    <s v="Y"/>
    <n v="3"/>
    <n v="-2"/>
    <n v="0"/>
    <x v="42"/>
    <x v="1"/>
    <m/>
    <n v="0"/>
    <n v="1"/>
    <n v="696"/>
    <n v="7"/>
    <x v="2"/>
    <n v="1"/>
    <n v="2"/>
    <n v="52"/>
    <n v="4"/>
    <n v="2"/>
    <n v="2"/>
    <n v="5220"/>
    <n v="10893"/>
    <n v="0"/>
    <n v="18"/>
    <n v="3"/>
    <n v="2"/>
    <n v="80"/>
    <n v="1"/>
    <n v="12"/>
    <n v="3"/>
    <n v="11"/>
    <n v="7"/>
    <n v="1"/>
    <n v="9"/>
  </r>
  <r>
    <s v="No"/>
    <s v="Travel_Frequently"/>
    <x v="2"/>
    <s v="Current Employees"/>
    <x v="1"/>
    <x v="1"/>
    <x v="880"/>
    <x v="880"/>
    <x v="0"/>
    <x v="2"/>
    <x v="1"/>
    <s v="No"/>
    <s v="Y"/>
    <n v="2"/>
    <n v="-2"/>
    <n v="0"/>
    <x v="5"/>
    <x v="1"/>
    <m/>
    <n v="0"/>
    <n v="1"/>
    <n v="116"/>
    <n v="13"/>
    <x v="3"/>
    <n v="1"/>
    <n v="3"/>
    <n v="77"/>
    <n v="2"/>
    <n v="1"/>
    <n v="2"/>
    <n v="2743"/>
    <n v="7331"/>
    <n v="1"/>
    <n v="20"/>
    <n v="4"/>
    <n v="3"/>
    <n v="80"/>
    <n v="1"/>
    <n v="2"/>
    <n v="3"/>
    <n v="2"/>
    <n v="2"/>
    <n v="2"/>
    <n v="2"/>
  </r>
  <r>
    <s v="No"/>
    <s v="Travel_Frequently"/>
    <x v="2"/>
    <s v="Current Employees"/>
    <x v="1"/>
    <x v="0"/>
    <x v="881"/>
    <x v="881"/>
    <x v="0"/>
    <x v="1"/>
    <x v="0"/>
    <s v="Yes"/>
    <s v="Y"/>
    <n v="2"/>
    <n v="-2"/>
    <n v="0"/>
    <x v="5"/>
    <x v="1"/>
    <m/>
    <n v="0"/>
    <n v="1"/>
    <n v="1316"/>
    <n v="2"/>
    <x v="0"/>
    <n v="1"/>
    <n v="4"/>
    <n v="38"/>
    <n v="3"/>
    <n v="2"/>
    <n v="1"/>
    <n v="4998"/>
    <n v="2338"/>
    <n v="4"/>
    <n v="14"/>
    <n v="3"/>
    <n v="4"/>
    <n v="80"/>
    <n v="0"/>
    <n v="10"/>
    <n v="3"/>
    <n v="8"/>
    <n v="7"/>
    <n v="0"/>
    <n v="7"/>
  </r>
  <r>
    <s v="No"/>
    <s v="Travel_Rarely"/>
    <x v="0"/>
    <s v="Current Employees"/>
    <x v="1"/>
    <x v="4"/>
    <x v="882"/>
    <x v="882"/>
    <x v="0"/>
    <x v="3"/>
    <x v="2"/>
    <s v="Yes"/>
    <s v="Y"/>
    <n v="2"/>
    <n v="-2"/>
    <n v="0"/>
    <x v="9"/>
    <x v="1"/>
    <m/>
    <n v="0"/>
    <n v="1"/>
    <n v="363"/>
    <n v="1"/>
    <x v="3"/>
    <n v="1"/>
    <n v="4"/>
    <n v="77"/>
    <n v="1"/>
    <n v="3"/>
    <n v="4"/>
    <n v="10252"/>
    <n v="4235"/>
    <n v="2"/>
    <n v="21"/>
    <n v="4"/>
    <n v="3"/>
    <n v="80"/>
    <n v="1"/>
    <n v="17"/>
    <n v="3"/>
    <n v="7"/>
    <n v="7"/>
    <n v="7"/>
    <n v="7"/>
  </r>
  <r>
    <s v="No"/>
    <s v="Travel_Rarely"/>
    <x v="2"/>
    <s v="Current Employees"/>
    <x v="1"/>
    <x v="2"/>
    <x v="883"/>
    <x v="883"/>
    <x v="1"/>
    <x v="1"/>
    <x v="1"/>
    <s v="No"/>
    <s v="Y"/>
    <n v="5"/>
    <n v="-2"/>
    <n v="0"/>
    <x v="3"/>
    <x v="1"/>
    <m/>
    <n v="0"/>
    <n v="1"/>
    <n v="117"/>
    <n v="9"/>
    <x v="3"/>
    <n v="1"/>
    <n v="1"/>
    <n v="60"/>
    <n v="3"/>
    <n v="1"/>
    <n v="4"/>
    <n v="2781"/>
    <n v="6311"/>
    <n v="0"/>
    <n v="13"/>
    <n v="3"/>
    <n v="2"/>
    <n v="80"/>
    <n v="1"/>
    <n v="15"/>
    <n v="3"/>
    <n v="14"/>
    <n v="10"/>
    <n v="4"/>
    <n v="10"/>
  </r>
  <r>
    <s v="No"/>
    <s v="Travel_Rarely"/>
    <x v="0"/>
    <s v="Current Employees"/>
    <x v="0"/>
    <x v="4"/>
    <x v="884"/>
    <x v="884"/>
    <x v="0"/>
    <x v="0"/>
    <x v="2"/>
    <s v="No"/>
    <s v="Y"/>
    <n v="2"/>
    <n v="-2"/>
    <n v="0"/>
    <x v="32"/>
    <x v="1"/>
    <m/>
    <n v="0"/>
    <n v="1"/>
    <n v="107"/>
    <n v="10"/>
    <x v="3"/>
    <n v="1"/>
    <n v="4"/>
    <n v="84"/>
    <n v="2"/>
    <n v="2"/>
    <n v="4"/>
    <n v="6852"/>
    <n v="11591"/>
    <n v="7"/>
    <n v="12"/>
    <n v="3"/>
    <n v="2"/>
    <n v="80"/>
    <n v="1"/>
    <n v="7"/>
    <n v="4"/>
    <n v="5"/>
    <n v="1"/>
    <n v="1"/>
    <n v="3"/>
  </r>
  <r>
    <s v="No"/>
    <s v="Travel_Rarely"/>
    <x v="2"/>
    <s v="Current Employees"/>
    <x v="0"/>
    <x v="0"/>
    <x v="885"/>
    <x v="885"/>
    <x v="1"/>
    <x v="0"/>
    <x v="0"/>
    <s v="No"/>
    <s v="Y"/>
    <n v="4"/>
    <n v="-2"/>
    <n v="0"/>
    <x v="36"/>
    <x v="1"/>
    <m/>
    <n v="0"/>
    <n v="1"/>
    <n v="1356"/>
    <n v="10"/>
    <x v="2"/>
    <n v="1"/>
    <n v="3"/>
    <n v="57"/>
    <n v="3"/>
    <n v="2"/>
    <n v="1"/>
    <n v="4950"/>
    <n v="20623"/>
    <n v="0"/>
    <n v="14"/>
    <n v="3"/>
    <n v="2"/>
    <n v="80"/>
    <n v="0"/>
    <n v="5"/>
    <n v="3"/>
    <n v="4"/>
    <n v="3"/>
    <n v="1"/>
    <n v="1"/>
  </r>
  <r>
    <s v="No"/>
    <s v="Travel_Rarely"/>
    <x v="2"/>
    <s v="Current Employees"/>
    <x v="1"/>
    <x v="2"/>
    <x v="886"/>
    <x v="886"/>
    <x v="1"/>
    <x v="1"/>
    <x v="1"/>
    <s v="Yes"/>
    <s v="Y"/>
    <n v="2"/>
    <n v="-2"/>
    <n v="0"/>
    <x v="7"/>
    <x v="1"/>
    <m/>
    <n v="0"/>
    <n v="1"/>
    <n v="1465"/>
    <n v="1"/>
    <x v="3"/>
    <n v="1"/>
    <n v="4"/>
    <n v="63"/>
    <n v="3"/>
    <n v="1"/>
    <n v="2"/>
    <n v="3579"/>
    <n v="9369"/>
    <n v="0"/>
    <n v="21"/>
    <n v="4"/>
    <n v="1"/>
    <n v="80"/>
    <n v="1"/>
    <n v="12"/>
    <n v="3"/>
    <n v="11"/>
    <n v="9"/>
    <n v="5"/>
    <n v="7"/>
  </r>
  <r>
    <s v="No"/>
    <s v="Travel_Frequently"/>
    <x v="0"/>
    <s v="Current Employees"/>
    <x v="1"/>
    <x v="2"/>
    <x v="887"/>
    <x v="887"/>
    <x v="0"/>
    <x v="7"/>
    <x v="1"/>
    <s v="Yes"/>
    <s v="Y"/>
    <n v="6"/>
    <n v="-2"/>
    <n v="0"/>
    <x v="19"/>
    <x v="1"/>
    <m/>
    <n v="0"/>
    <n v="1"/>
    <n v="458"/>
    <n v="26"/>
    <x v="4"/>
    <n v="1"/>
    <n v="1"/>
    <n v="60"/>
    <n v="3"/>
    <n v="3"/>
    <n v="3"/>
    <n v="13191"/>
    <n v="23281"/>
    <n v="3"/>
    <n v="17"/>
    <n v="3"/>
    <n v="3"/>
    <n v="80"/>
    <n v="0"/>
    <n v="20"/>
    <n v="3"/>
    <n v="1"/>
    <n v="0"/>
    <n v="0"/>
    <n v="0"/>
  </r>
  <r>
    <s v="No"/>
    <s v="Non-Travel"/>
    <x v="0"/>
    <s v="Current Employees"/>
    <x v="0"/>
    <x v="3"/>
    <x v="888"/>
    <x v="888"/>
    <x v="0"/>
    <x v="0"/>
    <x v="1"/>
    <s v="Yes"/>
    <s v="Y"/>
    <n v="6"/>
    <n v="-2"/>
    <n v="0"/>
    <x v="10"/>
    <x v="1"/>
    <m/>
    <n v="0"/>
    <n v="1"/>
    <n v="1212"/>
    <n v="8"/>
    <x v="0"/>
    <n v="1"/>
    <n v="3"/>
    <n v="78"/>
    <n v="2"/>
    <n v="3"/>
    <n v="2"/>
    <n v="10377"/>
    <n v="13755"/>
    <n v="4"/>
    <n v="11"/>
    <n v="3"/>
    <n v="2"/>
    <n v="80"/>
    <n v="1"/>
    <n v="16"/>
    <n v="2"/>
    <n v="13"/>
    <n v="2"/>
    <n v="4"/>
    <n v="12"/>
  </r>
  <r>
    <s v="No"/>
    <s v="Travel_Rarely"/>
    <x v="2"/>
    <s v="Current Employees"/>
    <x v="1"/>
    <x v="0"/>
    <x v="889"/>
    <x v="889"/>
    <x v="1"/>
    <x v="1"/>
    <x v="1"/>
    <s v="Yes"/>
    <s v="Y"/>
    <n v="3"/>
    <n v="-2"/>
    <n v="0"/>
    <x v="4"/>
    <x v="1"/>
    <m/>
    <n v="0"/>
    <n v="1"/>
    <n v="1103"/>
    <n v="14"/>
    <x v="3"/>
    <n v="1"/>
    <n v="1"/>
    <n v="42"/>
    <n v="3"/>
    <n v="1"/>
    <n v="1"/>
    <n v="2235"/>
    <n v="14377"/>
    <n v="1"/>
    <n v="14"/>
    <n v="3"/>
    <n v="4"/>
    <n v="80"/>
    <n v="2"/>
    <n v="9"/>
    <n v="2"/>
    <n v="9"/>
    <n v="7"/>
    <n v="6"/>
    <n v="8"/>
  </r>
  <r>
    <s v="No"/>
    <s v="Travel_Frequently"/>
    <x v="1"/>
    <s v="Current Employees"/>
    <x v="1"/>
    <x v="0"/>
    <x v="890"/>
    <x v="890"/>
    <x v="0"/>
    <x v="3"/>
    <x v="2"/>
    <s v="No"/>
    <s v="Y"/>
    <n v="2"/>
    <n v="-2"/>
    <n v="0"/>
    <x v="33"/>
    <x v="1"/>
    <m/>
    <n v="0"/>
    <n v="1"/>
    <n v="966"/>
    <n v="1"/>
    <x v="2"/>
    <n v="1"/>
    <n v="4"/>
    <n v="53"/>
    <n v="3"/>
    <n v="3"/>
    <n v="1"/>
    <n v="10502"/>
    <n v="9659"/>
    <n v="7"/>
    <n v="17"/>
    <n v="3"/>
    <n v="1"/>
    <n v="80"/>
    <n v="1"/>
    <n v="33"/>
    <n v="1"/>
    <n v="5"/>
    <n v="4"/>
    <n v="1"/>
    <n v="4"/>
  </r>
  <r>
    <s v="No"/>
    <s v="Travel_Rarely"/>
    <x v="0"/>
    <s v="Current Employees"/>
    <x v="1"/>
    <x v="0"/>
    <x v="891"/>
    <x v="891"/>
    <x v="0"/>
    <x v="1"/>
    <x v="1"/>
    <s v="No"/>
    <s v="Y"/>
    <n v="5"/>
    <n v="-2"/>
    <n v="0"/>
    <x v="20"/>
    <x v="1"/>
    <m/>
    <n v="0"/>
    <n v="1"/>
    <n v="1117"/>
    <n v="2"/>
    <x v="1"/>
    <n v="1"/>
    <n v="1"/>
    <n v="72"/>
    <n v="4"/>
    <n v="1"/>
    <n v="1"/>
    <n v="2011"/>
    <n v="19982"/>
    <n v="1"/>
    <n v="13"/>
    <n v="3"/>
    <n v="4"/>
    <n v="80"/>
    <n v="1"/>
    <n v="10"/>
    <n v="3"/>
    <n v="10"/>
    <n v="5"/>
    <n v="7"/>
    <n v="7"/>
  </r>
  <r>
    <s v="Yes"/>
    <s v="Non-Travel"/>
    <x v="4"/>
    <s v="Ex-Employees"/>
    <x v="1"/>
    <x v="2"/>
    <x v="892"/>
    <x v="892"/>
    <x v="0"/>
    <x v="1"/>
    <x v="0"/>
    <s v="Yes"/>
    <s v="Y"/>
    <n v="2"/>
    <n v="-2"/>
    <n v="0"/>
    <x v="37"/>
    <x v="0"/>
    <n v="1"/>
    <n v="1"/>
    <n v="0"/>
    <n v="504"/>
    <n v="10"/>
    <x v="3"/>
    <n v="1"/>
    <n v="1"/>
    <n v="96"/>
    <n v="2"/>
    <n v="1"/>
    <n v="2"/>
    <n v="1859"/>
    <n v="6148"/>
    <n v="1"/>
    <n v="25"/>
    <n v="4"/>
    <n v="2"/>
    <n v="80"/>
    <n v="0"/>
    <n v="1"/>
    <n v="4"/>
    <n v="1"/>
    <n v="1"/>
    <n v="0"/>
    <n v="0"/>
  </r>
  <r>
    <s v="No"/>
    <s v="Travel_Rarely"/>
    <x v="2"/>
    <s v="Current Employees"/>
    <x v="1"/>
    <x v="0"/>
    <x v="893"/>
    <x v="893"/>
    <x v="0"/>
    <x v="1"/>
    <x v="2"/>
    <s v="No"/>
    <s v="Y"/>
    <n v="5"/>
    <n v="-2"/>
    <n v="0"/>
    <x v="11"/>
    <x v="1"/>
    <m/>
    <n v="0"/>
    <n v="1"/>
    <n v="1010"/>
    <n v="1"/>
    <x v="3"/>
    <n v="1"/>
    <n v="1"/>
    <n v="97"/>
    <n v="3"/>
    <n v="1"/>
    <n v="1"/>
    <n v="3760"/>
    <n v="5598"/>
    <n v="1"/>
    <n v="15"/>
    <n v="3"/>
    <n v="1"/>
    <n v="80"/>
    <n v="3"/>
    <n v="3"/>
    <n v="3"/>
    <n v="3"/>
    <n v="2"/>
    <n v="1"/>
    <n v="2"/>
  </r>
  <r>
    <s v="No"/>
    <s v="Travel_Rarely"/>
    <x v="1"/>
    <s v="Current Employees"/>
    <x v="1"/>
    <x v="0"/>
    <x v="894"/>
    <x v="894"/>
    <x v="1"/>
    <x v="7"/>
    <x v="1"/>
    <s v="No"/>
    <s v="Y"/>
    <n v="2"/>
    <n v="-2"/>
    <n v="0"/>
    <x v="33"/>
    <x v="1"/>
    <m/>
    <n v="0"/>
    <n v="1"/>
    <n v="685"/>
    <n v="3"/>
    <x v="3"/>
    <n v="1"/>
    <n v="4"/>
    <n v="85"/>
    <n v="3"/>
    <n v="4"/>
    <n v="1"/>
    <n v="17779"/>
    <n v="23474"/>
    <n v="3"/>
    <n v="14"/>
    <n v="3"/>
    <n v="1"/>
    <n v="80"/>
    <n v="0"/>
    <n v="36"/>
    <n v="3"/>
    <n v="10"/>
    <n v="9"/>
    <n v="0"/>
    <n v="9"/>
  </r>
  <r>
    <s v="No"/>
    <s v="Travel_Rarely"/>
    <x v="2"/>
    <s v="Current Employees"/>
    <x v="1"/>
    <x v="2"/>
    <x v="895"/>
    <x v="895"/>
    <x v="1"/>
    <x v="4"/>
    <x v="1"/>
    <s v="Yes"/>
    <s v="Y"/>
    <n v="2"/>
    <n v="-2"/>
    <n v="0"/>
    <x v="12"/>
    <x v="1"/>
    <m/>
    <n v="0"/>
    <n v="1"/>
    <n v="1332"/>
    <n v="11"/>
    <x v="0"/>
    <n v="1"/>
    <n v="3"/>
    <n v="80"/>
    <n v="3"/>
    <n v="2"/>
    <n v="3"/>
    <n v="6833"/>
    <n v="17089"/>
    <n v="1"/>
    <n v="12"/>
    <n v="3"/>
    <n v="4"/>
    <n v="80"/>
    <n v="0"/>
    <n v="6"/>
    <n v="2"/>
    <n v="6"/>
    <n v="5"/>
    <n v="0"/>
    <n v="1"/>
  </r>
  <r>
    <s v="No"/>
    <s v="Travel_Rarely"/>
    <x v="2"/>
    <s v="Current Employees"/>
    <x v="1"/>
    <x v="2"/>
    <x v="896"/>
    <x v="896"/>
    <x v="0"/>
    <x v="4"/>
    <x v="0"/>
    <s v="No"/>
    <s v="Y"/>
    <n v="2"/>
    <n v="-2"/>
    <n v="0"/>
    <x v="12"/>
    <x v="1"/>
    <m/>
    <n v="0"/>
    <n v="1"/>
    <n v="1062"/>
    <n v="24"/>
    <x v="3"/>
    <n v="1"/>
    <n v="3"/>
    <n v="96"/>
    <n v="2"/>
    <n v="2"/>
    <n v="3"/>
    <n v="6812"/>
    <n v="17198"/>
    <n v="1"/>
    <n v="19"/>
    <n v="3"/>
    <n v="2"/>
    <n v="80"/>
    <n v="0"/>
    <n v="10"/>
    <n v="3"/>
    <n v="10"/>
    <n v="9"/>
    <n v="1"/>
    <n v="8"/>
  </r>
  <r>
    <s v="No"/>
    <s v="Travel_Rarely"/>
    <x v="3"/>
    <s v="Current Employees"/>
    <x v="0"/>
    <x v="0"/>
    <x v="897"/>
    <x v="897"/>
    <x v="0"/>
    <x v="0"/>
    <x v="0"/>
    <s v="No"/>
    <s v="Y"/>
    <n v="2"/>
    <n v="-2"/>
    <n v="0"/>
    <x v="6"/>
    <x v="1"/>
    <m/>
    <n v="0"/>
    <n v="1"/>
    <n v="326"/>
    <n v="3"/>
    <x v="3"/>
    <n v="1"/>
    <n v="3"/>
    <n v="48"/>
    <n v="2"/>
    <n v="2"/>
    <n v="1"/>
    <n v="5171"/>
    <n v="16490"/>
    <n v="5"/>
    <n v="17"/>
    <n v="3"/>
    <n v="4"/>
    <n v="80"/>
    <n v="0"/>
    <n v="13"/>
    <n v="3"/>
    <n v="6"/>
    <n v="1"/>
    <n v="0"/>
    <n v="5"/>
  </r>
  <r>
    <s v="No"/>
    <s v="Travel_Rarely"/>
    <x v="0"/>
    <s v="Current Employees"/>
    <x v="1"/>
    <x v="0"/>
    <x v="898"/>
    <x v="898"/>
    <x v="1"/>
    <x v="7"/>
    <x v="1"/>
    <s v="No"/>
    <s v="Y"/>
    <n v="2"/>
    <n v="-2"/>
    <n v="0"/>
    <x v="23"/>
    <x v="1"/>
    <m/>
    <n v="0"/>
    <n v="1"/>
    <n v="920"/>
    <n v="3"/>
    <x v="3"/>
    <n v="1"/>
    <n v="3"/>
    <n v="96"/>
    <n v="1"/>
    <n v="5"/>
    <n v="1"/>
    <n v="19740"/>
    <n v="18625"/>
    <n v="3"/>
    <n v="14"/>
    <n v="3"/>
    <n v="2"/>
    <n v="80"/>
    <n v="1"/>
    <n v="25"/>
    <n v="3"/>
    <n v="8"/>
    <n v="7"/>
    <n v="0"/>
    <n v="7"/>
  </r>
  <r>
    <s v="No"/>
    <s v="Travel_Rarely"/>
    <x v="1"/>
    <s v="Current Employees"/>
    <x v="1"/>
    <x v="2"/>
    <x v="899"/>
    <x v="899"/>
    <x v="1"/>
    <x v="5"/>
    <x v="1"/>
    <s v="No"/>
    <s v="Y"/>
    <n v="2"/>
    <n v="-2"/>
    <n v="0"/>
    <x v="1"/>
    <x v="1"/>
    <m/>
    <n v="0"/>
    <n v="1"/>
    <n v="1098"/>
    <n v="4"/>
    <x v="0"/>
    <n v="1"/>
    <n v="1"/>
    <n v="85"/>
    <n v="2"/>
    <n v="5"/>
    <n v="3"/>
    <n v="18711"/>
    <n v="12124"/>
    <n v="2"/>
    <n v="13"/>
    <n v="3"/>
    <n v="3"/>
    <n v="80"/>
    <n v="1"/>
    <n v="23"/>
    <n v="4"/>
    <n v="1"/>
    <n v="0"/>
    <n v="0"/>
    <n v="0"/>
  </r>
  <r>
    <s v="No"/>
    <s v="Travel_Frequently"/>
    <x v="0"/>
    <s v="Current Employees"/>
    <x v="1"/>
    <x v="4"/>
    <x v="900"/>
    <x v="900"/>
    <x v="1"/>
    <x v="1"/>
    <x v="1"/>
    <s v="No"/>
    <s v="Y"/>
    <n v="2"/>
    <n v="-2"/>
    <n v="0"/>
    <x v="9"/>
    <x v="1"/>
    <m/>
    <n v="0"/>
    <n v="1"/>
    <n v="469"/>
    <n v="3"/>
    <x v="3"/>
    <n v="1"/>
    <n v="4"/>
    <n v="46"/>
    <n v="3"/>
    <n v="1"/>
    <n v="4"/>
    <n v="3692"/>
    <n v="9256"/>
    <n v="1"/>
    <n v="12"/>
    <n v="3"/>
    <n v="3"/>
    <n v="80"/>
    <n v="0"/>
    <n v="12"/>
    <n v="2"/>
    <n v="11"/>
    <n v="10"/>
    <n v="0"/>
    <n v="7"/>
  </r>
  <r>
    <s v="No"/>
    <s v="Travel_Rarely"/>
    <x v="1"/>
    <s v="Current Employees"/>
    <x v="1"/>
    <x v="4"/>
    <x v="901"/>
    <x v="901"/>
    <x v="1"/>
    <x v="2"/>
    <x v="0"/>
    <s v="No"/>
    <s v="Y"/>
    <n v="4"/>
    <n v="-2"/>
    <n v="0"/>
    <x v="26"/>
    <x v="1"/>
    <m/>
    <n v="0"/>
    <n v="1"/>
    <n v="969"/>
    <n v="2"/>
    <x v="0"/>
    <n v="1"/>
    <n v="4"/>
    <n v="76"/>
    <n v="4"/>
    <n v="1"/>
    <n v="4"/>
    <n v="2559"/>
    <n v="16620"/>
    <n v="5"/>
    <n v="11"/>
    <n v="3"/>
    <n v="3"/>
    <n v="80"/>
    <n v="0"/>
    <n v="7"/>
    <n v="2"/>
    <n v="1"/>
    <n v="0"/>
    <n v="0"/>
    <n v="0"/>
  </r>
  <r>
    <s v="No"/>
    <s v="Travel_Rarely"/>
    <x v="2"/>
    <s v="Current Employees"/>
    <x v="1"/>
    <x v="0"/>
    <x v="902"/>
    <x v="902"/>
    <x v="1"/>
    <x v="1"/>
    <x v="2"/>
    <s v="No"/>
    <s v="Y"/>
    <n v="2"/>
    <n v="-2"/>
    <n v="0"/>
    <x v="4"/>
    <x v="1"/>
    <m/>
    <n v="0"/>
    <n v="1"/>
    <n v="1167"/>
    <n v="4"/>
    <x v="0"/>
    <n v="1"/>
    <n v="1"/>
    <n v="76"/>
    <n v="3"/>
    <n v="1"/>
    <n v="1"/>
    <n v="2517"/>
    <n v="3208"/>
    <n v="1"/>
    <n v="11"/>
    <n v="3"/>
    <n v="2"/>
    <n v="80"/>
    <n v="3"/>
    <n v="5"/>
    <n v="3"/>
    <n v="5"/>
    <n v="3"/>
    <n v="0"/>
    <n v="3"/>
  </r>
  <r>
    <s v="No"/>
    <s v="Travel_Rarely"/>
    <x v="2"/>
    <s v="Current Employees"/>
    <x v="1"/>
    <x v="0"/>
    <x v="903"/>
    <x v="903"/>
    <x v="1"/>
    <x v="4"/>
    <x v="2"/>
    <s v="Yes"/>
    <s v="Y"/>
    <n v="2"/>
    <n v="-2"/>
    <n v="0"/>
    <x v="11"/>
    <x v="1"/>
    <m/>
    <n v="0"/>
    <n v="1"/>
    <n v="1329"/>
    <n v="7"/>
    <x v="3"/>
    <n v="1"/>
    <n v="3"/>
    <n v="82"/>
    <n v="3"/>
    <n v="2"/>
    <n v="1"/>
    <n v="6623"/>
    <n v="4204"/>
    <n v="1"/>
    <n v="11"/>
    <n v="3"/>
    <n v="2"/>
    <n v="80"/>
    <n v="2"/>
    <n v="6"/>
    <n v="3"/>
    <n v="6"/>
    <n v="0"/>
    <n v="1"/>
    <n v="0"/>
  </r>
  <r>
    <s v="No"/>
    <s v="Travel_Rarely"/>
    <x v="1"/>
    <s v="Current Employees"/>
    <x v="1"/>
    <x v="0"/>
    <x v="904"/>
    <x v="904"/>
    <x v="1"/>
    <x v="7"/>
    <x v="0"/>
    <s v="No"/>
    <s v="Y"/>
    <n v="3"/>
    <n v="-2"/>
    <n v="0"/>
    <x v="26"/>
    <x v="1"/>
    <m/>
    <n v="0"/>
    <n v="1"/>
    <n v="715"/>
    <n v="1"/>
    <x v="3"/>
    <n v="1"/>
    <n v="4"/>
    <n v="76"/>
    <n v="2"/>
    <n v="5"/>
    <n v="1"/>
    <n v="18265"/>
    <n v="8733"/>
    <n v="6"/>
    <n v="12"/>
    <n v="3"/>
    <n v="3"/>
    <n v="80"/>
    <n v="0"/>
    <n v="25"/>
    <n v="4"/>
    <n v="1"/>
    <n v="0"/>
    <n v="0"/>
    <n v="0"/>
  </r>
  <r>
    <s v="No"/>
    <s v="Travel_Rarely"/>
    <x v="2"/>
    <s v="Current Employees"/>
    <x v="1"/>
    <x v="0"/>
    <x v="905"/>
    <x v="905"/>
    <x v="0"/>
    <x v="7"/>
    <x v="2"/>
    <s v="No"/>
    <s v="Y"/>
    <n v="2"/>
    <n v="-2"/>
    <n v="0"/>
    <x v="11"/>
    <x v="1"/>
    <m/>
    <n v="0"/>
    <n v="1"/>
    <n v="694"/>
    <n v="1"/>
    <x v="3"/>
    <n v="1"/>
    <n v="4"/>
    <n v="87"/>
    <n v="2"/>
    <n v="4"/>
    <n v="1"/>
    <n v="16124"/>
    <n v="3423"/>
    <n v="3"/>
    <n v="14"/>
    <n v="3"/>
    <n v="2"/>
    <n v="80"/>
    <n v="2"/>
    <n v="9"/>
    <n v="2"/>
    <n v="7"/>
    <n v="7"/>
    <n v="1"/>
    <n v="7"/>
  </r>
  <r>
    <s v="No"/>
    <s v="Travel_Rarely"/>
    <x v="2"/>
    <s v="Current Employees"/>
    <x v="1"/>
    <x v="4"/>
    <x v="906"/>
    <x v="906"/>
    <x v="0"/>
    <x v="1"/>
    <x v="1"/>
    <s v="No"/>
    <s v="Y"/>
    <n v="5"/>
    <n v="-2"/>
    <n v="0"/>
    <x v="13"/>
    <x v="1"/>
    <m/>
    <n v="0"/>
    <n v="1"/>
    <n v="1320"/>
    <n v="20"/>
    <x v="3"/>
    <n v="1"/>
    <n v="4"/>
    <n v="89"/>
    <n v="4"/>
    <n v="1"/>
    <n v="4"/>
    <n v="2585"/>
    <n v="21643"/>
    <n v="0"/>
    <n v="17"/>
    <n v="3"/>
    <n v="4"/>
    <n v="80"/>
    <n v="0"/>
    <n v="2"/>
    <n v="2"/>
    <n v="1"/>
    <n v="0"/>
    <n v="0"/>
    <n v="0"/>
  </r>
  <r>
    <s v="No"/>
    <s v="Travel_Rarely"/>
    <x v="0"/>
    <s v="Current Employees"/>
    <x v="0"/>
    <x v="3"/>
    <x v="907"/>
    <x v="907"/>
    <x v="1"/>
    <x v="5"/>
    <x v="1"/>
    <s v="No"/>
    <s v="Y"/>
    <n v="5"/>
    <n v="-2"/>
    <n v="0"/>
    <x v="20"/>
    <x v="1"/>
    <m/>
    <n v="0"/>
    <n v="1"/>
    <n v="1099"/>
    <n v="5"/>
    <x v="3"/>
    <n v="1"/>
    <n v="2"/>
    <n v="88"/>
    <n v="3"/>
    <n v="5"/>
    <n v="2"/>
    <n v="18213"/>
    <n v="8751"/>
    <n v="7"/>
    <n v="11"/>
    <n v="3"/>
    <n v="3"/>
    <n v="80"/>
    <n v="1"/>
    <n v="26"/>
    <n v="3"/>
    <n v="22"/>
    <n v="9"/>
    <n v="3"/>
    <n v="10"/>
  </r>
  <r>
    <s v="No"/>
    <s v="Travel_Rarely"/>
    <x v="2"/>
    <s v="Current Employees"/>
    <x v="0"/>
    <x v="3"/>
    <x v="908"/>
    <x v="908"/>
    <x v="1"/>
    <x v="0"/>
    <x v="2"/>
    <s v="Yes"/>
    <s v="Y"/>
    <n v="3"/>
    <n v="-2"/>
    <n v="0"/>
    <x v="3"/>
    <x v="1"/>
    <m/>
    <n v="0"/>
    <n v="1"/>
    <n v="536"/>
    <n v="10"/>
    <x v="4"/>
    <n v="1"/>
    <n v="4"/>
    <n v="82"/>
    <n v="4"/>
    <n v="3"/>
    <n v="2"/>
    <n v="8380"/>
    <n v="21708"/>
    <n v="0"/>
    <n v="14"/>
    <n v="3"/>
    <n v="4"/>
    <n v="80"/>
    <n v="2"/>
    <n v="10"/>
    <n v="3"/>
    <n v="9"/>
    <n v="8"/>
    <n v="0"/>
    <n v="8"/>
  </r>
  <r>
    <s v="No"/>
    <s v="Travel_Rarely"/>
    <x v="4"/>
    <s v="Current Employees"/>
    <x v="1"/>
    <x v="0"/>
    <x v="909"/>
    <x v="909"/>
    <x v="0"/>
    <x v="1"/>
    <x v="0"/>
    <s v="Yes"/>
    <s v="Y"/>
    <n v="2"/>
    <n v="-2"/>
    <n v="0"/>
    <x v="37"/>
    <x v="1"/>
    <m/>
    <n v="0"/>
    <n v="1"/>
    <n v="265"/>
    <n v="25"/>
    <x v="3"/>
    <n v="1"/>
    <n v="2"/>
    <n v="57"/>
    <n v="4"/>
    <n v="1"/>
    <n v="1"/>
    <n v="2994"/>
    <n v="21221"/>
    <n v="1"/>
    <n v="12"/>
    <n v="3"/>
    <n v="4"/>
    <n v="80"/>
    <n v="0"/>
    <n v="1"/>
    <n v="3"/>
    <n v="1"/>
    <n v="0"/>
    <n v="0"/>
    <n v="1"/>
  </r>
  <r>
    <s v="No"/>
    <s v="Travel_Rarely"/>
    <x v="4"/>
    <s v="Current Employees"/>
    <x v="1"/>
    <x v="0"/>
    <x v="910"/>
    <x v="910"/>
    <x v="1"/>
    <x v="1"/>
    <x v="1"/>
    <s v="No"/>
    <s v="Y"/>
    <n v="2"/>
    <n v="-2"/>
    <n v="0"/>
    <x v="30"/>
    <x v="1"/>
    <m/>
    <n v="0"/>
    <n v="1"/>
    <n v="373"/>
    <n v="1"/>
    <x v="0"/>
    <n v="1"/>
    <n v="4"/>
    <n v="47"/>
    <n v="3"/>
    <n v="1"/>
    <n v="1"/>
    <n v="1223"/>
    <n v="16901"/>
    <n v="1"/>
    <n v="22"/>
    <n v="4"/>
    <n v="4"/>
    <n v="80"/>
    <n v="1"/>
    <n v="1"/>
    <n v="3"/>
    <n v="1"/>
    <n v="0"/>
    <n v="0"/>
    <n v="1"/>
  </r>
  <r>
    <s v="Yes"/>
    <s v="Travel_Frequently"/>
    <x v="2"/>
    <s v="Ex-Employees"/>
    <x v="0"/>
    <x v="0"/>
    <x v="911"/>
    <x v="911"/>
    <x v="1"/>
    <x v="6"/>
    <x v="0"/>
    <s v="Yes"/>
    <s v="Y"/>
    <n v="4"/>
    <n v="-2"/>
    <n v="0"/>
    <x v="36"/>
    <x v="0"/>
    <n v="1"/>
    <n v="1"/>
    <n v="0"/>
    <n v="599"/>
    <n v="24"/>
    <x v="1"/>
    <n v="1"/>
    <n v="3"/>
    <n v="73"/>
    <n v="1"/>
    <n v="1"/>
    <n v="1"/>
    <n v="1118"/>
    <n v="8040"/>
    <n v="1"/>
    <n v="14"/>
    <n v="3"/>
    <n v="4"/>
    <n v="80"/>
    <n v="0"/>
    <n v="1"/>
    <n v="3"/>
    <n v="1"/>
    <n v="0"/>
    <n v="1"/>
    <n v="0"/>
  </r>
  <r>
    <s v="No"/>
    <s v="Travel_Rarely"/>
    <x v="2"/>
    <s v="Current Employees"/>
    <x v="1"/>
    <x v="0"/>
    <x v="912"/>
    <x v="912"/>
    <x v="1"/>
    <x v="1"/>
    <x v="0"/>
    <s v="Yes"/>
    <s v="Y"/>
    <n v="2"/>
    <n v="-2"/>
    <n v="0"/>
    <x v="25"/>
    <x v="1"/>
    <m/>
    <n v="0"/>
    <n v="1"/>
    <n v="583"/>
    <n v="4"/>
    <x v="0"/>
    <n v="1"/>
    <n v="3"/>
    <n v="53"/>
    <n v="3"/>
    <n v="1"/>
    <n v="1"/>
    <n v="2875"/>
    <n v="9973"/>
    <n v="1"/>
    <n v="20"/>
    <n v="4"/>
    <n v="2"/>
    <n v="80"/>
    <n v="0"/>
    <n v="8"/>
    <n v="2"/>
    <n v="8"/>
    <n v="5"/>
    <n v="2"/>
    <n v="2"/>
  </r>
  <r>
    <s v="Yes"/>
    <s v="Travel_Rarely"/>
    <x v="1"/>
    <s v="Ex-Employees"/>
    <x v="0"/>
    <x v="3"/>
    <x v="913"/>
    <x v="913"/>
    <x v="0"/>
    <x v="5"/>
    <x v="0"/>
    <s v="Yes"/>
    <s v="Y"/>
    <n v="2"/>
    <n v="-2"/>
    <n v="0"/>
    <x v="28"/>
    <x v="0"/>
    <n v="1"/>
    <n v="1"/>
    <n v="0"/>
    <n v="1449"/>
    <n v="2"/>
    <x v="3"/>
    <n v="1"/>
    <n v="1"/>
    <n v="94"/>
    <n v="1"/>
    <n v="5"/>
    <n v="2"/>
    <n v="18824"/>
    <n v="2493"/>
    <n v="2"/>
    <n v="16"/>
    <n v="3"/>
    <n v="1"/>
    <n v="80"/>
    <n v="0"/>
    <n v="26"/>
    <n v="3"/>
    <n v="24"/>
    <n v="10"/>
    <n v="1"/>
    <n v="11"/>
  </r>
  <r>
    <s v="No"/>
    <s v="Non-Travel"/>
    <x v="3"/>
    <s v="Current Employees"/>
    <x v="1"/>
    <x v="2"/>
    <x v="914"/>
    <x v="914"/>
    <x v="1"/>
    <x v="4"/>
    <x v="2"/>
    <s v="Yes"/>
    <s v="Y"/>
    <n v="3"/>
    <n v="-2"/>
    <n v="0"/>
    <x v="27"/>
    <x v="1"/>
    <m/>
    <n v="0"/>
    <n v="1"/>
    <n v="177"/>
    <n v="8"/>
    <x v="1"/>
    <n v="1"/>
    <n v="4"/>
    <n v="37"/>
    <n v="2"/>
    <n v="4"/>
    <n v="2"/>
    <n v="13577"/>
    <n v="25592"/>
    <n v="1"/>
    <n v="15"/>
    <n v="3"/>
    <n v="4"/>
    <n v="80"/>
    <n v="1"/>
    <n v="34"/>
    <n v="3"/>
    <n v="33"/>
    <n v="9"/>
    <n v="15"/>
    <n v="0"/>
  </r>
  <r>
    <s v="Yes"/>
    <s v="Travel_Frequently"/>
    <x v="4"/>
    <s v="Ex-Employees"/>
    <x v="1"/>
    <x v="0"/>
    <x v="915"/>
    <x v="915"/>
    <x v="0"/>
    <x v="2"/>
    <x v="0"/>
    <s v="No"/>
    <s v="Y"/>
    <n v="2"/>
    <n v="-2"/>
    <n v="0"/>
    <x v="18"/>
    <x v="0"/>
    <n v="1"/>
    <n v="1"/>
    <n v="0"/>
    <n v="251"/>
    <n v="10"/>
    <x v="0"/>
    <n v="1"/>
    <n v="1"/>
    <n v="45"/>
    <n v="2"/>
    <n v="1"/>
    <n v="1"/>
    <n v="2625"/>
    <n v="25308"/>
    <n v="1"/>
    <n v="20"/>
    <n v="4"/>
    <n v="3"/>
    <n v="80"/>
    <n v="0"/>
    <n v="2"/>
    <n v="1"/>
    <n v="2"/>
    <n v="2"/>
    <n v="2"/>
    <n v="2"/>
  </r>
  <r>
    <s v="No"/>
    <s v="Travel_Rarely"/>
    <x v="1"/>
    <s v="Current Employees"/>
    <x v="0"/>
    <x v="3"/>
    <x v="916"/>
    <x v="916"/>
    <x v="0"/>
    <x v="5"/>
    <x v="1"/>
    <s v="No"/>
    <s v="Y"/>
    <n v="2"/>
    <n v="-2"/>
    <n v="0"/>
    <x v="21"/>
    <x v="1"/>
    <m/>
    <n v="0"/>
    <n v="1"/>
    <n v="168"/>
    <n v="4"/>
    <x v="0"/>
    <n v="1"/>
    <n v="4"/>
    <n v="33"/>
    <n v="2"/>
    <n v="5"/>
    <n v="2"/>
    <n v="18789"/>
    <n v="9946"/>
    <n v="2"/>
    <n v="14"/>
    <n v="3"/>
    <n v="3"/>
    <n v="80"/>
    <n v="1"/>
    <n v="26"/>
    <n v="3"/>
    <n v="11"/>
    <n v="4"/>
    <n v="0"/>
    <n v="8"/>
  </r>
  <r>
    <s v="No"/>
    <s v="Travel_Rarely"/>
    <x v="2"/>
    <s v="Current Employees"/>
    <x v="0"/>
    <x v="3"/>
    <x v="917"/>
    <x v="917"/>
    <x v="0"/>
    <x v="0"/>
    <x v="0"/>
    <s v="Yes"/>
    <s v="Y"/>
    <n v="3"/>
    <n v="-2"/>
    <n v="0"/>
    <x v="13"/>
    <x v="1"/>
    <m/>
    <n v="0"/>
    <n v="1"/>
    <n v="131"/>
    <n v="2"/>
    <x v="3"/>
    <n v="1"/>
    <n v="3"/>
    <n v="86"/>
    <n v="3"/>
    <n v="2"/>
    <n v="2"/>
    <n v="4538"/>
    <n v="6039"/>
    <n v="0"/>
    <n v="12"/>
    <n v="3"/>
    <n v="4"/>
    <n v="80"/>
    <n v="0"/>
    <n v="4"/>
    <n v="3"/>
    <n v="3"/>
    <n v="2"/>
    <n v="0"/>
    <n v="2"/>
  </r>
  <r>
    <s v="No"/>
    <s v="Travel_Frequently"/>
    <x v="1"/>
    <s v="Current Employees"/>
    <x v="0"/>
    <x v="0"/>
    <x v="918"/>
    <x v="918"/>
    <x v="1"/>
    <x v="5"/>
    <x v="2"/>
    <s v="Yes"/>
    <s v="Y"/>
    <n v="5"/>
    <n v="-2"/>
    <n v="0"/>
    <x v="31"/>
    <x v="1"/>
    <m/>
    <n v="0"/>
    <n v="1"/>
    <n v="237"/>
    <n v="9"/>
    <x v="3"/>
    <n v="1"/>
    <n v="4"/>
    <n v="83"/>
    <n v="3"/>
    <n v="5"/>
    <n v="1"/>
    <n v="19847"/>
    <n v="19196"/>
    <n v="4"/>
    <n v="24"/>
    <n v="4"/>
    <n v="1"/>
    <n v="80"/>
    <n v="1"/>
    <n v="31"/>
    <n v="2"/>
    <n v="29"/>
    <n v="10"/>
    <n v="11"/>
    <n v="10"/>
  </r>
  <r>
    <s v="No"/>
    <s v="Travel_Rarely"/>
    <x v="3"/>
    <s v="Current Employees"/>
    <x v="1"/>
    <x v="2"/>
    <x v="919"/>
    <x v="919"/>
    <x v="1"/>
    <x v="3"/>
    <x v="0"/>
    <s v="No"/>
    <s v="Y"/>
    <n v="6"/>
    <n v="-2"/>
    <n v="0"/>
    <x v="6"/>
    <x v="1"/>
    <m/>
    <n v="0"/>
    <n v="1"/>
    <n v="1429"/>
    <n v="18"/>
    <x v="2"/>
    <n v="1"/>
    <n v="4"/>
    <n v="67"/>
    <n v="3"/>
    <n v="3"/>
    <n v="4"/>
    <n v="10512"/>
    <n v="20002"/>
    <n v="6"/>
    <n v="12"/>
    <n v="3"/>
    <n v="4"/>
    <n v="80"/>
    <n v="0"/>
    <n v="25"/>
    <n v="2"/>
    <n v="9"/>
    <n v="7"/>
    <n v="5"/>
    <n v="4"/>
  </r>
  <r>
    <s v="No"/>
    <s v="Travel_Frequently"/>
    <x v="2"/>
    <s v="Current Employees"/>
    <x v="1"/>
    <x v="2"/>
    <x v="920"/>
    <x v="920"/>
    <x v="0"/>
    <x v="2"/>
    <x v="2"/>
    <s v="No"/>
    <s v="Y"/>
    <n v="2"/>
    <n v="-2"/>
    <n v="0"/>
    <x v="13"/>
    <x v="1"/>
    <m/>
    <n v="0"/>
    <n v="1"/>
    <n v="135"/>
    <n v="19"/>
    <x v="3"/>
    <n v="1"/>
    <n v="3"/>
    <n v="46"/>
    <n v="3"/>
    <n v="2"/>
    <n v="2"/>
    <n v="4444"/>
    <n v="22534"/>
    <n v="4"/>
    <n v="13"/>
    <n v="3"/>
    <n v="3"/>
    <n v="80"/>
    <n v="2"/>
    <n v="15"/>
    <n v="4"/>
    <n v="11"/>
    <n v="8"/>
    <n v="5"/>
    <n v="10"/>
  </r>
  <r>
    <s v="No"/>
    <s v="Travel_Frequently"/>
    <x v="2"/>
    <s v="Current Employees"/>
    <x v="1"/>
    <x v="2"/>
    <x v="921"/>
    <x v="921"/>
    <x v="1"/>
    <x v="2"/>
    <x v="0"/>
    <s v="Yes"/>
    <s v="Y"/>
    <n v="2"/>
    <n v="-2"/>
    <n v="0"/>
    <x v="14"/>
    <x v="1"/>
    <m/>
    <n v="0"/>
    <n v="1"/>
    <n v="791"/>
    <n v="1"/>
    <x v="2"/>
    <n v="1"/>
    <n v="4"/>
    <n v="44"/>
    <n v="3"/>
    <n v="1"/>
    <n v="3"/>
    <n v="2154"/>
    <n v="6842"/>
    <n v="0"/>
    <n v="11"/>
    <n v="3"/>
    <n v="3"/>
    <n v="80"/>
    <n v="0"/>
    <n v="5"/>
    <n v="2"/>
    <n v="4"/>
    <n v="2"/>
    <n v="0"/>
    <n v="2"/>
  </r>
  <r>
    <s v="No"/>
    <s v="Travel_Rarely"/>
    <x v="0"/>
    <s v="Current Employees"/>
    <x v="1"/>
    <x v="0"/>
    <x v="922"/>
    <x v="922"/>
    <x v="1"/>
    <x v="5"/>
    <x v="2"/>
    <s v="No"/>
    <s v="Y"/>
    <n v="4"/>
    <n v="-2"/>
    <n v="0"/>
    <x v="20"/>
    <x v="1"/>
    <m/>
    <n v="0"/>
    <n v="1"/>
    <n v="1199"/>
    <n v="4"/>
    <x v="0"/>
    <n v="1"/>
    <n v="3"/>
    <n v="92"/>
    <n v="4"/>
    <n v="5"/>
    <n v="3"/>
    <n v="19190"/>
    <n v="17477"/>
    <n v="1"/>
    <n v="14"/>
    <n v="3"/>
    <n v="4"/>
    <n v="80"/>
    <n v="2"/>
    <n v="26"/>
    <n v="2"/>
    <n v="25"/>
    <n v="9"/>
    <n v="14"/>
    <n v="13"/>
  </r>
  <r>
    <s v="No"/>
    <s v="Travel_Frequently"/>
    <x v="2"/>
    <s v="Current Employees"/>
    <x v="2"/>
    <x v="0"/>
    <x v="923"/>
    <x v="923"/>
    <x v="1"/>
    <x v="8"/>
    <x v="1"/>
    <s v="No"/>
    <s v="Y"/>
    <n v="5"/>
    <n v="-2"/>
    <n v="0"/>
    <x v="13"/>
    <x v="1"/>
    <m/>
    <n v="0"/>
    <n v="1"/>
    <n v="648"/>
    <n v="11"/>
    <x v="3"/>
    <n v="1"/>
    <n v="3"/>
    <n v="56"/>
    <n v="2"/>
    <n v="2"/>
    <n v="2"/>
    <n v="4490"/>
    <n v="21833"/>
    <n v="4"/>
    <n v="11"/>
    <n v="3"/>
    <n v="4"/>
    <n v="80"/>
    <n v="2"/>
    <n v="14"/>
    <n v="4"/>
    <n v="10"/>
    <n v="9"/>
    <n v="1"/>
    <n v="8"/>
  </r>
  <r>
    <s v="No"/>
    <s v="Travel_Rarely"/>
    <x v="0"/>
    <s v="Current Employees"/>
    <x v="1"/>
    <x v="0"/>
    <x v="924"/>
    <x v="924"/>
    <x v="1"/>
    <x v="1"/>
    <x v="1"/>
    <s v="Yes"/>
    <s v="Y"/>
    <n v="3"/>
    <n v="-2"/>
    <n v="0"/>
    <x v="10"/>
    <x v="1"/>
    <m/>
    <n v="0"/>
    <n v="1"/>
    <n v="735"/>
    <n v="6"/>
    <x v="1"/>
    <n v="1"/>
    <n v="3"/>
    <n v="66"/>
    <n v="3"/>
    <n v="1"/>
    <n v="3"/>
    <n v="3506"/>
    <n v="6020"/>
    <n v="0"/>
    <n v="14"/>
    <n v="3"/>
    <n v="4"/>
    <n v="80"/>
    <n v="0"/>
    <n v="4"/>
    <n v="3"/>
    <n v="3"/>
    <n v="2"/>
    <n v="2"/>
    <n v="2"/>
  </r>
  <r>
    <s v="No"/>
    <s v="Travel_Rarely"/>
    <x v="0"/>
    <s v="Current Employees"/>
    <x v="1"/>
    <x v="2"/>
    <x v="925"/>
    <x v="925"/>
    <x v="0"/>
    <x v="1"/>
    <x v="1"/>
    <s v="Yes"/>
    <s v="Y"/>
    <n v="2"/>
    <n v="-2"/>
    <n v="0"/>
    <x v="19"/>
    <x v="1"/>
    <m/>
    <n v="0"/>
    <n v="1"/>
    <n v="603"/>
    <n v="7"/>
    <x v="2"/>
    <n v="1"/>
    <n v="2"/>
    <n v="78"/>
    <n v="4"/>
    <n v="2"/>
    <n v="2"/>
    <n v="2372"/>
    <n v="5628"/>
    <n v="6"/>
    <n v="16"/>
    <n v="3"/>
    <n v="4"/>
    <n v="80"/>
    <n v="0"/>
    <n v="18"/>
    <n v="3"/>
    <n v="1"/>
    <n v="0"/>
    <n v="0"/>
    <n v="0"/>
  </r>
  <r>
    <s v="No"/>
    <s v="Travel_Rarely"/>
    <x v="0"/>
    <s v="Current Employees"/>
    <x v="0"/>
    <x v="3"/>
    <x v="926"/>
    <x v="926"/>
    <x v="0"/>
    <x v="0"/>
    <x v="0"/>
    <s v="No"/>
    <s v="Y"/>
    <n v="3"/>
    <n v="-2"/>
    <n v="0"/>
    <x v="23"/>
    <x v="1"/>
    <m/>
    <n v="0"/>
    <n v="1"/>
    <n v="531"/>
    <n v="4"/>
    <x v="2"/>
    <n v="1"/>
    <n v="4"/>
    <n v="56"/>
    <n v="2"/>
    <n v="3"/>
    <n v="2"/>
    <n v="10231"/>
    <n v="20364"/>
    <n v="3"/>
    <n v="14"/>
    <n v="3"/>
    <n v="4"/>
    <n v="80"/>
    <n v="0"/>
    <n v="23"/>
    <n v="4"/>
    <n v="21"/>
    <n v="7"/>
    <n v="15"/>
    <n v="17"/>
  </r>
  <r>
    <s v="No"/>
    <s v="Travel_Rarely"/>
    <x v="0"/>
    <s v="Current Employees"/>
    <x v="1"/>
    <x v="0"/>
    <x v="927"/>
    <x v="927"/>
    <x v="0"/>
    <x v="3"/>
    <x v="0"/>
    <s v="Yes"/>
    <s v="Y"/>
    <n v="2"/>
    <n v="-2"/>
    <n v="0"/>
    <x v="9"/>
    <x v="1"/>
    <m/>
    <n v="0"/>
    <n v="1"/>
    <n v="429"/>
    <n v="2"/>
    <x v="2"/>
    <n v="1"/>
    <n v="3"/>
    <n v="53"/>
    <n v="3"/>
    <n v="2"/>
    <n v="2"/>
    <n v="5410"/>
    <n v="2323"/>
    <n v="9"/>
    <n v="11"/>
    <n v="3"/>
    <n v="4"/>
    <n v="80"/>
    <n v="0"/>
    <n v="18"/>
    <n v="3"/>
    <n v="16"/>
    <n v="14"/>
    <n v="5"/>
    <n v="12"/>
  </r>
  <r>
    <s v="Yes"/>
    <s v="Travel_Rarely"/>
    <x v="0"/>
    <s v="Ex-Employees"/>
    <x v="1"/>
    <x v="2"/>
    <x v="928"/>
    <x v="928"/>
    <x v="0"/>
    <x v="4"/>
    <x v="1"/>
    <s v="No"/>
    <s v="Y"/>
    <n v="2"/>
    <n v="-2"/>
    <n v="0"/>
    <x v="20"/>
    <x v="0"/>
    <n v="1"/>
    <n v="1"/>
    <n v="0"/>
    <n v="621"/>
    <n v="15"/>
    <x v="3"/>
    <n v="1"/>
    <n v="1"/>
    <n v="73"/>
    <n v="3"/>
    <n v="3"/>
    <n v="4"/>
    <n v="7978"/>
    <n v="14075"/>
    <n v="1"/>
    <n v="11"/>
    <n v="3"/>
    <n v="4"/>
    <n v="80"/>
    <n v="1"/>
    <n v="10"/>
    <n v="3"/>
    <n v="10"/>
    <n v="7"/>
    <n v="0"/>
    <n v="5"/>
  </r>
  <r>
    <s v="No"/>
    <s v="Travel_Frequently"/>
    <x v="2"/>
    <s v="Current Employees"/>
    <x v="1"/>
    <x v="0"/>
    <x v="929"/>
    <x v="929"/>
    <x v="1"/>
    <x v="2"/>
    <x v="1"/>
    <s v="Yes"/>
    <s v="Y"/>
    <n v="2"/>
    <n v="-2"/>
    <n v="0"/>
    <x v="14"/>
    <x v="1"/>
    <m/>
    <n v="0"/>
    <n v="1"/>
    <n v="193"/>
    <n v="2"/>
    <x v="3"/>
    <n v="1"/>
    <n v="4"/>
    <n v="52"/>
    <n v="2"/>
    <n v="1"/>
    <n v="4"/>
    <n v="3867"/>
    <n v="14222"/>
    <n v="1"/>
    <n v="12"/>
    <n v="3"/>
    <n v="2"/>
    <n v="80"/>
    <n v="1"/>
    <n v="2"/>
    <n v="3"/>
    <n v="2"/>
    <n v="2"/>
    <n v="2"/>
    <n v="2"/>
  </r>
  <r>
    <s v="No"/>
    <s v="Travel_Frequently"/>
    <x v="1"/>
    <s v="Current Employees"/>
    <x v="1"/>
    <x v="2"/>
    <x v="930"/>
    <x v="930"/>
    <x v="0"/>
    <x v="2"/>
    <x v="0"/>
    <s v="No"/>
    <s v="Y"/>
    <n v="6"/>
    <n v="-2"/>
    <n v="0"/>
    <x v="31"/>
    <x v="1"/>
    <m/>
    <n v="0"/>
    <n v="1"/>
    <n v="968"/>
    <n v="6"/>
    <x v="0"/>
    <n v="1"/>
    <n v="2"/>
    <n v="40"/>
    <n v="2"/>
    <n v="1"/>
    <n v="3"/>
    <n v="2838"/>
    <n v="4257"/>
    <n v="0"/>
    <n v="14"/>
    <n v="3"/>
    <n v="2"/>
    <n v="80"/>
    <n v="0"/>
    <n v="8"/>
    <n v="2"/>
    <n v="7"/>
    <n v="0"/>
    <n v="7"/>
    <n v="7"/>
  </r>
  <r>
    <s v="No"/>
    <s v="Non-Travel"/>
    <x v="2"/>
    <s v="Current Employees"/>
    <x v="1"/>
    <x v="2"/>
    <x v="931"/>
    <x v="931"/>
    <x v="0"/>
    <x v="3"/>
    <x v="0"/>
    <s v="Yes"/>
    <s v="Y"/>
    <n v="3"/>
    <n v="-2"/>
    <n v="0"/>
    <x v="7"/>
    <x v="1"/>
    <m/>
    <n v="0"/>
    <n v="1"/>
    <n v="879"/>
    <n v="9"/>
    <x v="0"/>
    <n v="1"/>
    <n v="3"/>
    <n v="72"/>
    <n v="3"/>
    <n v="2"/>
    <n v="3"/>
    <n v="4695"/>
    <n v="12858"/>
    <n v="7"/>
    <n v="18"/>
    <n v="3"/>
    <n v="3"/>
    <n v="80"/>
    <n v="0"/>
    <n v="10"/>
    <n v="3"/>
    <n v="8"/>
    <n v="4"/>
    <n v="1"/>
    <n v="7"/>
  </r>
  <r>
    <s v="Yes"/>
    <s v="Travel_Rarely"/>
    <x v="2"/>
    <s v="Ex-Employees"/>
    <x v="1"/>
    <x v="4"/>
    <x v="932"/>
    <x v="932"/>
    <x v="0"/>
    <x v="2"/>
    <x v="2"/>
    <s v="Yes"/>
    <s v="Y"/>
    <n v="2"/>
    <n v="-2"/>
    <n v="0"/>
    <x v="11"/>
    <x v="0"/>
    <n v="1"/>
    <n v="1"/>
    <n v="0"/>
    <n v="806"/>
    <n v="7"/>
    <x v="3"/>
    <n v="1"/>
    <n v="4"/>
    <n v="39"/>
    <n v="3"/>
    <n v="1"/>
    <n v="4"/>
    <n v="3339"/>
    <n v="17285"/>
    <n v="3"/>
    <n v="13"/>
    <n v="3"/>
    <n v="1"/>
    <n v="80"/>
    <n v="2"/>
    <n v="10"/>
    <n v="3"/>
    <n v="7"/>
    <n v="7"/>
    <n v="7"/>
    <n v="7"/>
  </r>
  <r>
    <s v="No"/>
    <s v="Travel_Rarely"/>
    <x v="2"/>
    <s v="Current Employees"/>
    <x v="1"/>
    <x v="4"/>
    <x v="933"/>
    <x v="933"/>
    <x v="1"/>
    <x v="1"/>
    <x v="0"/>
    <s v="No"/>
    <s v="Y"/>
    <n v="2"/>
    <n v="-2"/>
    <n v="0"/>
    <x v="14"/>
    <x v="1"/>
    <m/>
    <n v="0"/>
    <n v="1"/>
    <n v="640"/>
    <n v="1"/>
    <x v="3"/>
    <n v="1"/>
    <n v="4"/>
    <n v="84"/>
    <n v="3"/>
    <n v="1"/>
    <n v="4"/>
    <n v="2080"/>
    <n v="4732"/>
    <n v="2"/>
    <n v="11"/>
    <n v="3"/>
    <n v="2"/>
    <n v="80"/>
    <n v="0"/>
    <n v="5"/>
    <n v="2"/>
    <n v="3"/>
    <n v="2"/>
    <n v="1"/>
    <n v="2"/>
  </r>
  <r>
    <s v="No"/>
    <s v="Travel_Rarely"/>
    <x v="2"/>
    <s v="Current Employees"/>
    <x v="1"/>
    <x v="2"/>
    <x v="934"/>
    <x v="934"/>
    <x v="0"/>
    <x v="1"/>
    <x v="0"/>
    <s v="No"/>
    <s v="Y"/>
    <n v="3"/>
    <n v="-2"/>
    <n v="0"/>
    <x v="36"/>
    <x v="1"/>
    <m/>
    <n v="0"/>
    <n v="1"/>
    <n v="266"/>
    <n v="1"/>
    <x v="3"/>
    <n v="1"/>
    <n v="4"/>
    <n v="40"/>
    <n v="3"/>
    <n v="1"/>
    <n v="2"/>
    <n v="2096"/>
    <n v="18830"/>
    <n v="1"/>
    <n v="18"/>
    <n v="3"/>
    <n v="4"/>
    <n v="80"/>
    <n v="0"/>
    <n v="2"/>
    <n v="2"/>
    <n v="2"/>
    <n v="2"/>
    <n v="2"/>
    <n v="1"/>
  </r>
  <r>
    <s v="No"/>
    <s v="Travel_Rarely"/>
    <x v="2"/>
    <s v="Current Employees"/>
    <x v="0"/>
    <x v="2"/>
    <x v="935"/>
    <x v="935"/>
    <x v="1"/>
    <x v="0"/>
    <x v="1"/>
    <s v="No"/>
    <s v="Y"/>
    <n v="4"/>
    <n v="-2"/>
    <n v="0"/>
    <x v="5"/>
    <x v="1"/>
    <m/>
    <n v="0"/>
    <n v="1"/>
    <n v="604"/>
    <n v="8"/>
    <x v="3"/>
    <n v="1"/>
    <n v="3"/>
    <n v="56"/>
    <n v="4"/>
    <n v="2"/>
    <n v="4"/>
    <n v="6209"/>
    <n v="11693"/>
    <n v="1"/>
    <n v="15"/>
    <n v="3"/>
    <n v="3"/>
    <n v="80"/>
    <n v="2"/>
    <n v="10"/>
    <n v="4"/>
    <n v="10"/>
    <n v="7"/>
    <n v="0"/>
    <n v="8"/>
  </r>
  <r>
    <s v="No"/>
    <s v="Travel_Frequently"/>
    <x v="1"/>
    <s v="Current Employees"/>
    <x v="1"/>
    <x v="2"/>
    <x v="936"/>
    <x v="936"/>
    <x v="0"/>
    <x v="5"/>
    <x v="0"/>
    <s v="No"/>
    <s v="Y"/>
    <n v="4"/>
    <n v="-2"/>
    <n v="0"/>
    <x v="28"/>
    <x v="1"/>
    <m/>
    <n v="0"/>
    <n v="1"/>
    <n v="364"/>
    <n v="25"/>
    <x v="3"/>
    <n v="1"/>
    <n v="2"/>
    <n v="83"/>
    <n v="3"/>
    <n v="5"/>
    <n v="2"/>
    <n v="18061"/>
    <n v="13035"/>
    <n v="3"/>
    <n v="22"/>
    <n v="4"/>
    <n v="3"/>
    <n v="80"/>
    <n v="0"/>
    <n v="22"/>
    <n v="3"/>
    <n v="0"/>
    <n v="0"/>
    <n v="0"/>
    <n v="0"/>
  </r>
  <r>
    <s v="No"/>
    <s v="Travel_Rarely"/>
    <x v="0"/>
    <s v="Current Employees"/>
    <x v="1"/>
    <x v="2"/>
    <x v="937"/>
    <x v="937"/>
    <x v="0"/>
    <x v="5"/>
    <x v="2"/>
    <s v="Yes"/>
    <s v="Y"/>
    <n v="4"/>
    <n v="-2"/>
    <n v="0"/>
    <x v="22"/>
    <x v="1"/>
    <m/>
    <n v="0"/>
    <n v="1"/>
    <n v="412"/>
    <n v="13"/>
    <x v="2"/>
    <n v="1"/>
    <n v="3"/>
    <n v="94"/>
    <n v="2"/>
    <n v="4"/>
    <n v="2"/>
    <n v="17123"/>
    <n v="17334"/>
    <n v="6"/>
    <n v="13"/>
    <n v="3"/>
    <n v="4"/>
    <n v="80"/>
    <n v="2"/>
    <n v="21"/>
    <n v="3"/>
    <n v="19"/>
    <n v="9"/>
    <n v="15"/>
    <n v="2"/>
  </r>
  <r>
    <s v="No"/>
    <s v="Travel_Rarely"/>
    <x v="3"/>
    <s v="Current Employees"/>
    <x v="1"/>
    <x v="0"/>
    <x v="938"/>
    <x v="938"/>
    <x v="1"/>
    <x v="1"/>
    <x v="2"/>
    <s v="No"/>
    <s v="Y"/>
    <n v="3"/>
    <n v="-2"/>
    <n v="0"/>
    <x v="34"/>
    <x v="1"/>
    <m/>
    <n v="0"/>
    <n v="1"/>
    <n v="848"/>
    <n v="23"/>
    <x v="2"/>
    <n v="1"/>
    <n v="1"/>
    <n v="88"/>
    <n v="3"/>
    <n v="1"/>
    <n v="3"/>
    <n v="2372"/>
    <n v="26076"/>
    <n v="1"/>
    <n v="12"/>
    <n v="3"/>
    <n v="4"/>
    <n v="80"/>
    <n v="2"/>
    <n v="2"/>
    <n v="3"/>
    <n v="2"/>
    <n v="2"/>
    <n v="2"/>
    <n v="2"/>
  </r>
  <r>
    <s v="Yes"/>
    <s v="Travel_Rarely"/>
    <x v="2"/>
    <s v="Ex-Employees"/>
    <x v="1"/>
    <x v="0"/>
    <x v="939"/>
    <x v="939"/>
    <x v="1"/>
    <x v="2"/>
    <x v="1"/>
    <s v="No"/>
    <s v="Y"/>
    <n v="3"/>
    <n v="-2"/>
    <n v="0"/>
    <x v="5"/>
    <x v="0"/>
    <n v="1"/>
    <n v="1"/>
    <n v="0"/>
    <n v="1089"/>
    <n v="7"/>
    <x v="0"/>
    <n v="1"/>
    <n v="4"/>
    <n v="79"/>
    <n v="3"/>
    <n v="2"/>
    <n v="3"/>
    <n v="4883"/>
    <n v="22845"/>
    <n v="1"/>
    <n v="18"/>
    <n v="3"/>
    <n v="1"/>
    <n v="80"/>
    <n v="1"/>
    <n v="10"/>
    <n v="3"/>
    <n v="10"/>
    <n v="4"/>
    <n v="1"/>
    <n v="1"/>
  </r>
  <r>
    <s v="Yes"/>
    <s v="Travel_Rarely"/>
    <x v="0"/>
    <s v="Ex-Employees"/>
    <x v="1"/>
    <x v="2"/>
    <x v="940"/>
    <x v="940"/>
    <x v="1"/>
    <x v="1"/>
    <x v="0"/>
    <s v="No"/>
    <s v="Y"/>
    <n v="2"/>
    <n v="-2"/>
    <n v="0"/>
    <x v="22"/>
    <x v="0"/>
    <n v="1"/>
    <n v="1"/>
    <n v="0"/>
    <n v="360"/>
    <n v="23"/>
    <x v="3"/>
    <n v="1"/>
    <n v="3"/>
    <n v="93"/>
    <n v="3"/>
    <n v="1"/>
    <n v="3"/>
    <n v="3904"/>
    <n v="22154"/>
    <n v="0"/>
    <n v="13"/>
    <n v="3"/>
    <n v="1"/>
    <n v="80"/>
    <n v="0"/>
    <n v="6"/>
    <n v="3"/>
    <n v="5"/>
    <n v="2"/>
    <n v="0"/>
    <n v="3"/>
  </r>
  <r>
    <s v="No"/>
    <s v="Travel_Rarely"/>
    <x v="2"/>
    <s v="Current Employees"/>
    <x v="1"/>
    <x v="4"/>
    <x v="941"/>
    <x v="941"/>
    <x v="0"/>
    <x v="2"/>
    <x v="1"/>
    <s v="No"/>
    <s v="Y"/>
    <n v="6"/>
    <n v="-2"/>
    <n v="0"/>
    <x v="7"/>
    <x v="1"/>
    <m/>
    <n v="0"/>
    <n v="1"/>
    <n v="1138"/>
    <n v="6"/>
    <x v="3"/>
    <n v="1"/>
    <n v="4"/>
    <n v="48"/>
    <n v="2"/>
    <n v="2"/>
    <n v="4"/>
    <n v="4627"/>
    <n v="23631"/>
    <n v="0"/>
    <n v="12"/>
    <n v="3"/>
    <n v="1"/>
    <n v="80"/>
    <n v="1"/>
    <n v="10"/>
    <n v="3"/>
    <n v="9"/>
    <n v="2"/>
    <n v="6"/>
    <n v="7"/>
  </r>
  <r>
    <s v="No"/>
    <s v="Travel_Rarely"/>
    <x v="0"/>
    <s v="Current Employees"/>
    <x v="1"/>
    <x v="4"/>
    <x v="942"/>
    <x v="942"/>
    <x v="0"/>
    <x v="4"/>
    <x v="1"/>
    <s v="No"/>
    <s v="Y"/>
    <n v="0"/>
    <n v="-2"/>
    <n v="0"/>
    <x v="9"/>
    <x v="1"/>
    <m/>
    <n v="0"/>
    <n v="1"/>
    <n v="325"/>
    <n v="10"/>
    <x v="2"/>
    <n v="1"/>
    <n v="4"/>
    <n v="63"/>
    <n v="3"/>
    <n v="3"/>
    <n v="4"/>
    <n v="7094"/>
    <n v="5747"/>
    <n v="3"/>
    <n v="12"/>
    <n v="3"/>
    <n v="1"/>
    <n v="80"/>
    <n v="0"/>
    <n v="10"/>
    <n v="3"/>
    <n v="7"/>
    <n v="7"/>
    <n v="1"/>
    <n v="7"/>
  </r>
  <r>
    <s v="No"/>
    <s v="Travel_Rarely"/>
    <x v="1"/>
    <s v="Current Employees"/>
    <x v="2"/>
    <x v="0"/>
    <x v="943"/>
    <x v="943"/>
    <x v="0"/>
    <x v="8"/>
    <x v="0"/>
    <s v="No"/>
    <s v="Y"/>
    <n v="3"/>
    <n v="-2"/>
    <n v="0"/>
    <x v="21"/>
    <x v="1"/>
    <m/>
    <n v="0"/>
    <n v="1"/>
    <n v="991"/>
    <n v="1"/>
    <x v="0"/>
    <n v="1"/>
    <n v="4"/>
    <n v="44"/>
    <n v="3"/>
    <n v="1"/>
    <n v="3"/>
    <n v="3423"/>
    <n v="22957"/>
    <n v="6"/>
    <n v="12"/>
    <n v="3"/>
    <n v="3"/>
    <n v="80"/>
    <n v="0"/>
    <n v="10"/>
    <n v="4"/>
    <n v="7"/>
    <n v="6"/>
    <n v="5"/>
    <n v="7"/>
  </r>
  <r>
    <s v="No"/>
    <s v="Non-Travel"/>
    <x v="2"/>
    <s v="Current Employees"/>
    <x v="1"/>
    <x v="0"/>
    <x v="944"/>
    <x v="944"/>
    <x v="0"/>
    <x v="2"/>
    <x v="1"/>
    <s v="No"/>
    <s v="Y"/>
    <n v="6"/>
    <n v="-2"/>
    <n v="0"/>
    <x v="14"/>
    <x v="1"/>
    <m/>
    <n v="0"/>
    <n v="1"/>
    <n v="1476"/>
    <n v="1"/>
    <x v="3"/>
    <n v="1"/>
    <n v="3"/>
    <n v="55"/>
    <n v="1"/>
    <n v="2"/>
    <n v="4"/>
    <n v="6674"/>
    <n v="16392"/>
    <n v="0"/>
    <n v="11"/>
    <n v="3"/>
    <n v="1"/>
    <n v="80"/>
    <n v="3"/>
    <n v="10"/>
    <n v="3"/>
    <n v="9"/>
    <n v="8"/>
    <n v="7"/>
    <n v="5"/>
  </r>
  <r>
    <s v="No"/>
    <s v="Travel_Rarely"/>
    <x v="1"/>
    <s v="Current Employees"/>
    <x v="1"/>
    <x v="0"/>
    <x v="945"/>
    <x v="945"/>
    <x v="0"/>
    <x v="7"/>
    <x v="1"/>
    <s v="Yes"/>
    <s v="Y"/>
    <n v="2"/>
    <n v="-2"/>
    <n v="0"/>
    <x v="24"/>
    <x v="1"/>
    <m/>
    <n v="0"/>
    <n v="1"/>
    <n v="1322"/>
    <n v="28"/>
    <x v="3"/>
    <n v="1"/>
    <n v="4"/>
    <n v="43"/>
    <n v="3"/>
    <n v="4"/>
    <n v="3"/>
    <n v="16880"/>
    <n v="22422"/>
    <n v="4"/>
    <n v="11"/>
    <n v="3"/>
    <n v="2"/>
    <n v="80"/>
    <n v="0"/>
    <n v="25"/>
    <n v="3"/>
    <n v="3"/>
    <n v="2"/>
    <n v="1"/>
    <n v="2"/>
  </r>
  <r>
    <s v="Yes"/>
    <s v="Travel_Rarely"/>
    <x v="0"/>
    <s v="Ex-Employees"/>
    <x v="0"/>
    <x v="3"/>
    <x v="946"/>
    <x v="946"/>
    <x v="1"/>
    <x v="0"/>
    <x v="0"/>
    <s v="Yes"/>
    <s v="Y"/>
    <n v="2"/>
    <n v="-2"/>
    <n v="0"/>
    <x v="32"/>
    <x v="0"/>
    <n v="1"/>
    <n v="1"/>
    <n v="0"/>
    <n v="299"/>
    <n v="25"/>
    <x v="2"/>
    <n v="1"/>
    <n v="4"/>
    <n v="57"/>
    <n v="2"/>
    <n v="3"/>
    <n v="2"/>
    <n v="9094"/>
    <n v="17235"/>
    <n v="2"/>
    <n v="12"/>
    <n v="3"/>
    <n v="3"/>
    <n v="80"/>
    <n v="0"/>
    <n v="9"/>
    <n v="3"/>
    <n v="5"/>
    <n v="4"/>
    <n v="1"/>
    <n v="0"/>
  </r>
  <r>
    <s v="Yes"/>
    <s v="Travel_Rarely"/>
    <x v="1"/>
    <s v="Ex-Employees"/>
    <x v="0"/>
    <x v="0"/>
    <x v="947"/>
    <x v="947"/>
    <x v="1"/>
    <x v="0"/>
    <x v="0"/>
    <s v="Yes"/>
    <s v="Y"/>
    <n v="2"/>
    <n v="-2"/>
    <n v="0"/>
    <x v="39"/>
    <x v="0"/>
    <n v="1"/>
    <n v="1"/>
    <n v="0"/>
    <n v="1030"/>
    <n v="5"/>
    <x v="3"/>
    <n v="1"/>
    <n v="2"/>
    <n v="64"/>
    <n v="3"/>
    <n v="3"/>
    <n v="2"/>
    <n v="8446"/>
    <n v="21534"/>
    <n v="9"/>
    <n v="19"/>
    <n v="3"/>
    <n v="3"/>
    <n v="80"/>
    <n v="0"/>
    <n v="10"/>
    <n v="2"/>
    <n v="8"/>
    <n v="7"/>
    <n v="7"/>
    <n v="7"/>
  </r>
  <r>
    <s v="No"/>
    <s v="Travel_Rarely"/>
    <x v="2"/>
    <s v="Current Employees"/>
    <x v="1"/>
    <x v="2"/>
    <x v="948"/>
    <x v="948"/>
    <x v="0"/>
    <x v="5"/>
    <x v="1"/>
    <s v="Yes"/>
    <s v="Y"/>
    <n v="2"/>
    <n v="-2"/>
    <n v="0"/>
    <x v="7"/>
    <x v="1"/>
    <m/>
    <n v="0"/>
    <n v="1"/>
    <n v="634"/>
    <n v="17"/>
    <x v="2"/>
    <n v="1"/>
    <n v="2"/>
    <n v="95"/>
    <n v="3"/>
    <n v="3"/>
    <n v="3"/>
    <n v="11916"/>
    <n v="25927"/>
    <n v="1"/>
    <n v="23"/>
    <n v="4"/>
    <n v="4"/>
    <n v="80"/>
    <n v="2"/>
    <n v="9"/>
    <n v="3"/>
    <n v="9"/>
    <n v="1"/>
    <n v="0"/>
    <n v="8"/>
  </r>
  <r>
    <s v="No"/>
    <s v="Travel_Rarely"/>
    <x v="0"/>
    <s v="Current Employees"/>
    <x v="1"/>
    <x v="0"/>
    <x v="949"/>
    <x v="949"/>
    <x v="1"/>
    <x v="3"/>
    <x v="0"/>
    <s v="No"/>
    <s v="Y"/>
    <n v="6"/>
    <n v="-2"/>
    <n v="0"/>
    <x v="22"/>
    <x v="1"/>
    <m/>
    <n v="0"/>
    <n v="1"/>
    <n v="524"/>
    <n v="18"/>
    <x v="0"/>
    <n v="1"/>
    <n v="1"/>
    <n v="32"/>
    <n v="3"/>
    <n v="2"/>
    <n v="3"/>
    <n v="4534"/>
    <n v="13352"/>
    <n v="0"/>
    <n v="11"/>
    <n v="3"/>
    <n v="1"/>
    <n v="80"/>
    <n v="0"/>
    <n v="9"/>
    <n v="3"/>
    <n v="8"/>
    <n v="7"/>
    <n v="1"/>
    <n v="7"/>
  </r>
  <r>
    <s v="No"/>
    <s v="Non-Travel"/>
    <x v="2"/>
    <s v="Current Employees"/>
    <x v="0"/>
    <x v="0"/>
    <x v="950"/>
    <x v="950"/>
    <x v="0"/>
    <x v="0"/>
    <x v="2"/>
    <s v="Yes"/>
    <s v="Y"/>
    <n v="5"/>
    <n v="-2"/>
    <n v="0"/>
    <x v="12"/>
    <x v="1"/>
    <m/>
    <n v="0"/>
    <n v="1"/>
    <n v="587"/>
    <n v="2"/>
    <x v="2"/>
    <n v="1"/>
    <n v="4"/>
    <n v="57"/>
    <n v="3"/>
    <n v="3"/>
    <n v="3"/>
    <n v="9852"/>
    <n v="8935"/>
    <n v="1"/>
    <n v="19"/>
    <n v="3"/>
    <n v="1"/>
    <n v="80"/>
    <n v="1"/>
    <n v="10"/>
    <n v="2"/>
    <n v="10"/>
    <n v="8"/>
    <n v="9"/>
    <n v="6"/>
  </r>
  <r>
    <s v="No"/>
    <s v="Non-Travel"/>
    <x v="0"/>
    <s v="Current Employees"/>
    <x v="0"/>
    <x v="2"/>
    <x v="951"/>
    <x v="951"/>
    <x v="1"/>
    <x v="0"/>
    <x v="0"/>
    <s v="No"/>
    <s v="Y"/>
    <n v="4"/>
    <n v="-2"/>
    <n v="0"/>
    <x v="0"/>
    <x v="1"/>
    <m/>
    <n v="0"/>
    <n v="1"/>
    <n v="256"/>
    <n v="10"/>
    <x v="0"/>
    <n v="1"/>
    <n v="3"/>
    <n v="40"/>
    <n v="1"/>
    <n v="2"/>
    <n v="2"/>
    <n v="6151"/>
    <n v="22074"/>
    <n v="1"/>
    <n v="13"/>
    <n v="3"/>
    <n v="1"/>
    <n v="80"/>
    <n v="0"/>
    <n v="19"/>
    <n v="3"/>
    <n v="19"/>
    <n v="2"/>
    <n v="11"/>
    <n v="9"/>
  </r>
  <r>
    <s v="Yes"/>
    <s v="Travel_Frequently"/>
    <x v="2"/>
    <s v="Ex-Employees"/>
    <x v="0"/>
    <x v="0"/>
    <x v="952"/>
    <x v="952"/>
    <x v="0"/>
    <x v="6"/>
    <x v="0"/>
    <s v="Yes"/>
    <s v="Y"/>
    <n v="2"/>
    <n v="-2"/>
    <n v="0"/>
    <x v="12"/>
    <x v="0"/>
    <n v="1"/>
    <n v="1"/>
    <n v="0"/>
    <n v="1060"/>
    <n v="1"/>
    <x v="3"/>
    <n v="1"/>
    <n v="4"/>
    <n v="54"/>
    <n v="3"/>
    <n v="1"/>
    <n v="2"/>
    <n v="2302"/>
    <n v="8319"/>
    <n v="1"/>
    <n v="11"/>
    <n v="3"/>
    <n v="1"/>
    <n v="80"/>
    <n v="0"/>
    <n v="3"/>
    <n v="4"/>
    <n v="3"/>
    <n v="2"/>
    <n v="2"/>
    <n v="2"/>
  </r>
  <r>
    <s v="Yes"/>
    <s v="Travel_Rarely"/>
    <x v="0"/>
    <s v="Ex-Employees"/>
    <x v="1"/>
    <x v="0"/>
    <x v="953"/>
    <x v="953"/>
    <x v="1"/>
    <x v="2"/>
    <x v="1"/>
    <s v="No"/>
    <s v="Y"/>
    <n v="4"/>
    <n v="-2"/>
    <n v="0"/>
    <x v="20"/>
    <x v="0"/>
    <n v="1"/>
    <n v="1"/>
    <n v="0"/>
    <n v="935"/>
    <n v="3"/>
    <x v="3"/>
    <n v="1"/>
    <n v="1"/>
    <n v="89"/>
    <n v="3"/>
    <n v="1"/>
    <n v="3"/>
    <n v="2362"/>
    <n v="14669"/>
    <n v="4"/>
    <n v="12"/>
    <n v="3"/>
    <n v="3"/>
    <n v="80"/>
    <n v="0"/>
    <n v="10"/>
    <n v="4"/>
    <n v="3"/>
    <n v="2"/>
    <n v="1"/>
    <n v="2"/>
  </r>
  <r>
    <s v="No"/>
    <s v="Non-Travel"/>
    <x v="0"/>
    <s v="Current Employees"/>
    <x v="1"/>
    <x v="0"/>
    <x v="954"/>
    <x v="954"/>
    <x v="1"/>
    <x v="5"/>
    <x v="1"/>
    <s v="Yes"/>
    <s v="Y"/>
    <n v="3"/>
    <n v="-2"/>
    <n v="0"/>
    <x v="19"/>
    <x v="1"/>
    <m/>
    <n v="0"/>
    <n v="1"/>
    <n v="495"/>
    <n v="2"/>
    <x v="1"/>
    <n v="1"/>
    <n v="3"/>
    <n v="37"/>
    <n v="3"/>
    <n v="4"/>
    <n v="3"/>
    <n v="17861"/>
    <n v="26582"/>
    <n v="0"/>
    <n v="13"/>
    <n v="3"/>
    <n v="4"/>
    <n v="80"/>
    <n v="0"/>
    <n v="21"/>
    <n v="2"/>
    <n v="20"/>
    <n v="8"/>
    <n v="2"/>
    <n v="10"/>
  </r>
  <r>
    <s v="No"/>
    <s v="Travel_Rarely"/>
    <x v="3"/>
    <s v="Current Employees"/>
    <x v="1"/>
    <x v="2"/>
    <x v="955"/>
    <x v="955"/>
    <x v="0"/>
    <x v="5"/>
    <x v="1"/>
    <s v="No"/>
    <s v="Y"/>
    <n v="5"/>
    <n v="-2"/>
    <n v="0"/>
    <x v="27"/>
    <x v="1"/>
    <m/>
    <n v="0"/>
    <n v="1"/>
    <n v="282"/>
    <n v="2"/>
    <x v="0"/>
    <n v="1"/>
    <n v="4"/>
    <n v="58"/>
    <n v="1"/>
    <n v="5"/>
    <n v="3"/>
    <n v="19187"/>
    <n v="6992"/>
    <n v="4"/>
    <n v="14"/>
    <n v="3"/>
    <n v="4"/>
    <n v="80"/>
    <n v="1"/>
    <n v="23"/>
    <n v="3"/>
    <n v="19"/>
    <n v="9"/>
    <n v="9"/>
    <n v="11"/>
  </r>
  <r>
    <s v="No"/>
    <s v="Travel_Rarely"/>
    <x v="3"/>
    <s v="Current Employees"/>
    <x v="2"/>
    <x v="0"/>
    <x v="956"/>
    <x v="956"/>
    <x v="1"/>
    <x v="5"/>
    <x v="0"/>
    <s v="No"/>
    <s v="Y"/>
    <n v="4"/>
    <n v="-2"/>
    <n v="0"/>
    <x v="29"/>
    <x v="1"/>
    <m/>
    <n v="0"/>
    <n v="1"/>
    <n v="206"/>
    <n v="8"/>
    <x v="2"/>
    <n v="1"/>
    <n v="4"/>
    <n v="99"/>
    <n v="3"/>
    <n v="5"/>
    <n v="2"/>
    <n v="19717"/>
    <n v="4022"/>
    <n v="6"/>
    <n v="14"/>
    <n v="3"/>
    <n v="1"/>
    <n v="80"/>
    <n v="0"/>
    <n v="36"/>
    <n v="3"/>
    <n v="7"/>
    <n v="3"/>
    <n v="7"/>
    <n v="7"/>
  </r>
  <r>
    <s v="No"/>
    <s v="Non-Travel"/>
    <x v="0"/>
    <s v="Current Employees"/>
    <x v="1"/>
    <x v="0"/>
    <x v="957"/>
    <x v="957"/>
    <x v="1"/>
    <x v="1"/>
    <x v="2"/>
    <s v="No"/>
    <s v="Y"/>
    <n v="0"/>
    <n v="-2"/>
    <n v="0"/>
    <x v="32"/>
    <x v="1"/>
    <m/>
    <n v="0"/>
    <n v="1"/>
    <n v="458"/>
    <n v="16"/>
    <x v="0"/>
    <n v="1"/>
    <n v="3"/>
    <n v="74"/>
    <n v="3"/>
    <n v="1"/>
    <n v="3"/>
    <n v="3544"/>
    <n v="8532"/>
    <n v="9"/>
    <n v="16"/>
    <n v="3"/>
    <n v="2"/>
    <n v="80"/>
    <n v="1"/>
    <n v="6"/>
    <n v="3"/>
    <n v="4"/>
    <n v="2"/>
    <n v="0"/>
    <n v="0"/>
  </r>
  <r>
    <s v="No"/>
    <s v="Travel_Rarely"/>
    <x v="2"/>
    <s v="Current Employees"/>
    <x v="1"/>
    <x v="0"/>
    <x v="958"/>
    <x v="958"/>
    <x v="1"/>
    <x v="4"/>
    <x v="2"/>
    <s v="No"/>
    <s v="Y"/>
    <n v="0"/>
    <n v="-2"/>
    <n v="0"/>
    <x v="13"/>
    <x v="1"/>
    <m/>
    <n v="0"/>
    <n v="1"/>
    <n v="943"/>
    <n v="9"/>
    <x v="3"/>
    <n v="1"/>
    <n v="4"/>
    <n v="86"/>
    <n v="3"/>
    <n v="3"/>
    <n v="4"/>
    <n v="8500"/>
    <n v="5494"/>
    <n v="0"/>
    <n v="11"/>
    <n v="3"/>
    <n v="4"/>
    <n v="80"/>
    <n v="1"/>
    <n v="10"/>
    <n v="2"/>
    <n v="9"/>
    <n v="7"/>
    <n v="1"/>
    <n v="6"/>
  </r>
  <r>
    <s v="No"/>
    <s v="Travel_Rarely"/>
    <x v="0"/>
    <s v="Current Employees"/>
    <x v="1"/>
    <x v="0"/>
    <x v="959"/>
    <x v="959"/>
    <x v="1"/>
    <x v="1"/>
    <x v="0"/>
    <s v="No"/>
    <s v="Y"/>
    <n v="4"/>
    <n v="-2"/>
    <n v="0"/>
    <x v="32"/>
    <x v="1"/>
    <m/>
    <n v="0"/>
    <n v="1"/>
    <n v="523"/>
    <n v="2"/>
    <x v="3"/>
    <n v="1"/>
    <n v="3"/>
    <n v="98"/>
    <n v="3"/>
    <n v="2"/>
    <n v="4"/>
    <n v="4661"/>
    <n v="22455"/>
    <n v="1"/>
    <n v="13"/>
    <n v="3"/>
    <n v="3"/>
    <n v="80"/>
    <n v="0"/>
    <n v="9"/>
    <n v="3"/>
    <n v="9"/>
    <n v="8"/>
    <n v="8"/>
    <n v="8"/>
  </r>
  <r>
    <s v="No"/>
    <s v="Travel_Frequently"/>
    <x v="0"/>
    <s v="Current Employees"/>
    <x v="0"/>
    <x v="3"/>
    <x v="960"/>
    <x v="960"/>
    <x v="0"/>
    <x v="0"/>
    <x v="2"/>
    <s v="No"/>
    <s v="Y"/>
    <n v="2"/>
    <n v="-2"/>
    <n v="0"/>
    <x v="0"/>
    <x v="1"/>
    <m/>
    <n v="0"/>
    <n v="1"/>
    <n v="1018"/>
    <n v="1"/>
    <x v="3"/>
    <n v="1"/>
    <n v="3"/>
    <n v="66"/>
    <n v="3"/>
    <n v="2"/>
    <n v="2"/>
    <n v="4103"/>
    <n v="4297"/>
    <n v="0"/>
    <n v="17"/>
    <n v="3"/>
    <n v="4"/>
    <n v="80"/>
    <n v="1"/>
    <n v="10"/>
    <n v="3"/>
    <n v="9"/>
    <n v="3"/>
    <n v="1"/>
    <n v="7"/>
  </r>
  <r>
    <s v="No"/>
    <s v="Travel_Frequently"/>
    <x v="0"/>
    <s v="Current Employees"/>
    <x v="1"/>
    <x v="0"/>
    <x v="961"/>
    <x v="961"/>
    <x v="1"/>
    <x v="1"/>
    <x v="0"/>
    <s v="Yes"/>
    <s v="Y"/>
    <n v="3"/>
    <n v="-2"/>
    <n v="0"/>
    <x v="10"/>
    <x v="1"/>
    <m/>
    <n v="0"/>
    <n v="1"/>
    <n v="482"/>
    <n v="4"/>
    <x v="2"/>
    <n v="1"/>
    <n v="3"/>
    <n v="87"/>
    <n v="3"/>
    <n v="2"/>
    <n v="3"/>
    <n v="4249"/>
    <n v="2690"/>
    <n v="1"/>
    <n v="11"/>
    <n v="3"/>
    <n v="2"/>
    <n v="80"/>
    <n v="0"/>
    <n v="9"/>
    <n v="3"/>
    <n v="9"/>
    <n v="6"/>
    <n v="1"/>
    <n v="1"/>
  </r>
  <r>
    <s v="No"/>
    <s v="Travel_Rarely"/>
    <x v="1"/>
    <s v="Current Employees"/>
    <x v="2"/>
    <x v="0"/>
    <x v="962"/>
    <x v="962"/>
    <x v="1"/>
    <x v="5"/>
    <x v="2"/>
    <s v="Yes"/>
    <s v="Y"/>
    <n v="2"/>
    <n v="-2"/>
    <n v="0"/>
    <x v="31"/>
    <x v="1"/>
    <m/>
    <n v="0"/>
    <n v="1"/>
    <n v="770"/>
    <n v="5"/>
    <x v="3"/>
    <n v="1"/>
    <n v="3"/>
    <n v="84"/>
    <n v="3"/>
    <n v="4"/>
    <n v="2"/>
    <n v="14026"/>
    <n v="17588"/>
    <n v="1"/>
    <n v="11"/>
    <n v="3"/>
    <n v="2"/>
    <n v="80"/>
    <n v="1"/>
    <n v="33"/>
    <n v="3"/>
    <n v="33"/>
    <n v="9"/>
    <n v="0"/>
    <n v="10"/>
  </r>
  <r>
    <s v="No"/>
    <s v="Travel_Rarely"/>
    <x v="0"/>
    <s v="Current Employees"/>
    <x v="0"/>
    <x v="0"/>
    <x v="963"/>
    <x v="963"/>
    <x v="0"/>
    <x v="0"/>
    <x v="2"/>
    <s v="No"/>
    <s v="Y"/>
    <n v="3"/>
    <n v="-2"/>
    <n v="0"/>
    <x v="8"/>
    <x v="1"/>
    <m/>
    <n v="0"/>
    <n v="1"/>
    <n v="1009"/>
    <n v="2"/>
    <x v="0"/>
    <n v="1"/>
    <n v="2"/>
    <n v="31"/>
    <n v="3"/>
    <n v="2"/>
    <n v="3"/>
    <n v="6893"/>
    <n v="19461"/>
    <n v="3"/>
    <n v="15"/>
    <n v="3"/>
    <n v="4"/>
    <n v="80"/>
    <n v="1"/>
    <n v="11"/>
    <n v="3"/>
    <n v="7"/>
    <n v="7"/>
    <n v="1"/>
    <n v="7"/>
  </r>
  <r>
    <s v="No"/>
    <s v="Travel_Rarely"/>
    <x v="2"/>
    <s v="Current Employees"/>
    <x v="0"/>
    <x v="2"/>
    <x v="964"/>
    <x v="964"/>
    <x v="0"/>
    <x v="0"/>
    <x v="0"/>
    <s v="No"/>
    <s v="Y"/>
    <n v="6"/>
    <n v="-2"/>
    <n v="0"/>
    <x v="13"/>
    <x v="1"/>
    <m/>
    <n v="0"/>
    <n v="1"/>
    <n v="507"/>
    <n v="15"/>
    <x v="0"/>
    <n v="1"/>
    <n v="3"/>
    <n v="66"/>
    <n v="3"/>
    <n v="2"/>
    <n v="3"/>
    <n v="6125"/>
    <n v="23553"/>
    <n v="1"/>
    <n v="12"/>
    <n v="3"/>
    <n v="4"/>
    <n v="80"/>
    <n v="0"/>
    <n v="10"/>
    <n v="4"/>
    <n v="10"/>
    <n v="8"/>
    <n v="9"/>
    <n v="6"/>
  </r>
  <r>
    <s v="No"/>
    <s v="Travel_Rarely"/>
    <x v="2"/>
    <s v="Current Employees"/>
    <x v="1"/>
    <x v="2"/>
    <x v="965"/>
    <x v="965"/>
    <x v="1"/>
    <x v="2"/>
    <x v="1"/>
    <s v="No"/>
    <s v="Y"/>
    <n v="6"/>
    <n v="-2"/>
    <n v="0"/>
    <x v="36"/>
    <x v="1"/>
    <m/>
    <n v="0"/>
    <n v="1"/>
    <n v="882"/>
    <n v="19"/>
    <x v="1"/>
    <n v="1"/>
    <n v="4"/>
    <n v="67"/>
    <n v="3"/>
    <n v="1"/>
    <n v="4"/>
    <n v="3669"/>
    <n v="9075"/>
    <n v="3"/>
    <n v="11"/>
    <n v="3"/>
    <n v="3"/>
    <n v="80"/>
    <n v="3"/>
    <n v="7"/>
    <n v="2"/>
    <n v="3"/>
    <n v="2"/>
    <n v="1"/>
    <n v="2"/>
  </r>
  <r>
    <s v="Yes"/>
    <s v="Travel_Rarely"/>
    <x v="3"/>
    <s v="Ex-Employees"/>
    <x v="1"/>
    <x v="2"/>
    <x v="966"/>
    <x v="966"/>
    <x v="0"/>
    <x v="3"/>
    <x v="1"/>
    <s v="Yes"/>
    <s v="Y"/>
    <n v="0"/>
    <n v="-2"/>
    <n v="0"/>
    <x v="34"/>
    <x v="0"/>
    <n v="1"/>
    <n v="1"/>
    <n v="0"/>
    <n v="601"/>
    <n v="7"/>
    <x v="2"/>
    <n v="1"/>
    <n v="3"/>
    <n v="53"/>
    <n v="2"/>
    <n v="3"/>
    <n v="3"/>
    <n v="10008"/>
    <n v="12023"/>
    <n v="7"/>
    <n v="14"/>
    <n v="3"/>
    <n v="4"/>
    <n v="80"/>
    <n v="0"/>
    <n v="31"/>
    <n v="2"/>
    <n v="10"/>
    <n v="9"/>
    <n v="5"/>
    <n v="9"/>
  </r>
  <r>
    <s v="No"/>
    <s v="Travel_Rarely"/>
    <x v="0"/>
    <s v="Current Employees"/>
    <x v="1"/>
    <x v="0"/>
    <x v="967"/>
    <x v="967"/>
    <x v="1"/>
    <x v="2"/>
    <x v="1"/>
    <s v="No"/>
    <s v="Y"/>
    <n v="3"/>
    <n v="-2"/>
    <n v="0"/>
    <x v="32"/>
    <x v="1"/>
    <m/>
    <n v="0"/>
    <n v="1"/>
    <n v="329"/>
    <n v="1"/>
    <x v="2"/>
    <n v="1"/>
    <n v="2"/>
    <n v="88"/>
    <n v="3"/>
    <n v="1"/>
    <n v="2"/>
    <n v="2387"/>
    <n v="6762"/>
    <n v="3"/>
    <n v="22"/>
    <n v="4"/>
    <n v="3"/>
    <n v="80"/>
    <n v="1"/>
    <n v="7"/>
    <n v="3"/>
    <n v="4"/>
    <n v="2"/>
    <n v="0"/>
    <n v="3"/>
  </r>
  <r>
    <s v="No"/>
    <s v="Travel_Frequently"/>
    <x v="0"/>
    <s v="Current Employees"/>
    <x v="0"/>
    <x v="3"/>
    <x v="968"/>
    <x v="968"/>
    <x v="0"/>
    <x v="0"/>
    <x v="1"/>
    <s v="No"/>
    <s v="Y"/>
    <n v="2"/>
    <n v="-2"/>
    <n v="0"/>
    <x v="9"/>
    <x v="1"/>
    <m/>
    <n v="0"/>
    <n v="1"/>
    <n v="607"/>
    <n v="7"/>
    <x v="3"/>
    <n v="1"/>
    <n v="1"/>
    <n v="83"/>
    <n v="4"/>
    <n v="2"/>
    <n v="2"/>
    <n v="4639"/>
    <n v="2261"/>
    <n v="2"/>
    <n v="16"/>
    <n v="3"/>
    <n v="4"/>
    <n v="80"/>
    <n v="1"/>
    <n v="17"/>
    <n v="2"/>
    <n v="15"/>
    <n v="7"/>
    <n v="6"/>
    <n v="13"/>
  </r>
  <r>
    <s v="No"/>
    <s v="Travel_Rarely"/>
    <x v="1"/>
    <s v="Current Employees"/>
    <x v="1"/>
    <x v="0"/>
    <x v="969"/>
    <x v="969"/>
    <x v="1"/>
    <x v="3"/>
    <x v="0"/>
    <s v="No"/>
    <s v="Y"/>
    <n v="2"/>
    <n v="-2"/>
    <n v="0"/>
    <x v="26"/>
    <x v="1"/>
    <m/>
    <n v="0"/>
    <n v="1"/>
    <n v="855"/>
    <n v="4"/>
    <x v="3"/>
    <n v="1"/>
    <n v="4"/>
    <n v="54"/>
    <n v="3"/>
    <n v="3"/>
    <n v="4"/>
    <n v="7898"/>
    <n v="18706"/>
    <n v="1"/>
    <n v="11"/>
    <n v="3"/>
    <n v="3"/>
    <n v="80"/>
    <n v="0"/>
    <n v="11"/>
    <n v="3"/>
    <n v="10"/>
    <n v="9"/>
    <n v="0"/>
    <n v="8"/>
  </r>
  <r>
    <s v="No"/>
    <s v="Travel_Rarely"/>
    <x v="2"/>
    <s v="Current Employees"/>
    <x v="0"/>
    <x v="2"/>
    <x v="970"/>
    <x v="970"/>
    <x v="0"/>
    <x v="6"/>
    <x v="1"/>
    <s v="No"/>
    <s v="Y"/>
    <n v="4"/>
    <n v="-2"/>
    <n v="0"/>
    <x v="4"/>
    <x v="1"/>
    <m/>
    <n v="0"/>
    <n v="1"/>
    <n v="1291"/>
    <n v="11"/>
    <x v="3"/>
    <n v="1"/>
    <n v="3"/>
    <n v="98"/>
    <n v="4"/>
    <n v="1"/>
    <n v="4"/>
    <n v="2534"/>
    <n v="6527"/>
    <n v="8"/>
    <n v="14"/>
    <n v="3"/>
    <n v="2"/>
    <n v="80"/>
    <n v="1"/>
    <n v="5"/>
    <n v="3"/>
    <n v="1"/>
    <n v="0"/>
    <n v="0"/>
    <n v="0"/>
  </r>
  <r>
    <s v="No"/>
    <s v="Travel_Rarely"/>
    <x v="1"/>
    <s v="Current Employees"/>
    <x v="1"/>
    <x v="4"/>
    <x v="971"/>
    <x v="971"/>
    <x v="0"/>
    <x v="3"/>
    <x v="0"/>
    <s v="No"/>
    <s v="Y"/>
    <n v="1"/>
    <n v="-2"/>
    <n v="0"/>
    <x v="31"/>
    <x v="1"/>
    <m/>
    <n v="0"/>
    <n v="1"/>
    <n v="1405"/>
    <n v="11"/>
    <x v="0"/>
    <n v="1"/>
    <n v="4"/>
    <n v="82"/>
    <n v="2"/>
    <n v="4"/>
    <n v="4"/>
    <n v="13142"/>
    <n v="24439"/>
    <n v="3"/>
    <n v="16"/>
    <n v="3"/>
    <n v="2"/>
    <n v="80"/>
    <n v="0"/>
    <n v="29"/>
    <n v="2"/>
    <n v="5"/>
    <n v="2"/>
    <n v="0"/>
    <n v="3"/>
  </r>
  <r>
    <s v="No"/>
    <s v="Non-Travel"/>
    <x v="4"/>
    <s v="Current Employees"/>
    <x v="1"/>
    <x v="0"/>
    <x v="972"/>
    <x v="972"/>
    <x v="0"/>
    <x v="2"/>
    <x v="0"/>
    <s v="No"/>
    <s v="Y"/>
    <n v="5"/>
    <n v="-2"/>
    <n v="0"/>
    <x v="41"/>
    <x v="1"/>
    <m/>
    <n v="0"/>
    <n v="1"/>
    <n v="1124"/>
    <n v="1"/>
    <x v="3"/>
    <n v="1"/>
    <n v="4"/>
    <n v="97"/>
    <n v="3"/>
    <n v="1"/>
    <n v="4"/>
    <n v="1611"/>
    <n v="19305"/>
    <n v="1"/>
    <n v="15"/>
    <n v="3"/>
    <n v="3"/>
    <n v="80"/>
    <n v="0"/>
    <n v="0"/>
    <n v="4"/>
    <n v="0"/>
    <n v="0"/>
    <n v="0"/>
    <n v="0"/>
  </r>
  <r>
    <s v="No"/>
    <s v="Travel_Rarely"/>
    <x v="0"/>
    <s v="Current Employees"/>
    <x v="1"/>
    <x v="2"/>
    <x v="973"/>
    <x v="973"/>
    <x v="0"/>
    <x v="2"/>
    <x v="1"/>
    <s v="No"/>
    <s v="Y"/>
    <n v="0"/>
    <n v="-2"/>
    <n v="0"/>
    <x v="10"/>
    <x v="1"/>
    <m/>
    <n v="0"/>
    <n v="1"/>
    <n v="817"/>
    <n v="1"/>
    <x v="3"/>
    <n v="1"/>
    <n v="4"/>
    <n v="60"/>
    <n v="2"/>
    <n v="2"/>
    <n v="4"/>
    <n v="5363"/>
    <n v="10846"/>
    <n v="0"/>
    <n v="12"/>
    <n v="3"/>
    <n v="2"/>
    <n v="80"/>
    <n v="1"/>
    <n v="10"/>
    <n v="3"/>
    <n v="9"/>
    <n v="7"/>
    <n v="0"/>
    <n v="0"/>
  </r>
  <r>
    <s v="No"/>
    <s v="Travel_Frequently"/>
    <x v="2"/>
    <s v="Current Employees"/>
    <x v="0"/>
    <x v="0"/>
    <x v="974"/>
    <x v="974"/>
    <x v="1"/>
    <x v="0"/>
    <x v="0"/>
    <s v="No"/>
    <s v="Y"/>
    <n v="3"/>
    <n v="-2"/>
    <n v="0"/>
    <x v="4"/>
    <x v="1"/>
    <m/>
    <n v="0"/>
    <n v="1"/>
    <n v="793"/>
    <n v="2"/>
    <x v="1"/>
    <n v="1"/>
    <n v="4"/>
    <n v="43"/>
    <n v="1"/>
    <n v="2"/>
    <n v="4"/>
    <n v="5071"/>
    <n v="20392"/>
    <n v="3"/>
    <n v="20"/>
    <n v="4"/>
    <n v="2"/>
    <n v="80"/>
    <n v="0"/>
    <n v="8"/>
    <n v="3"/>
    <n v="6"/>
    <n v="2"/>
    <n v="0"/>
    <n v="0"/>
  </r>
  <r>
    <s v="Yes"/>
    <s v="Travel_Rarely"/>
    <x v="3"/>
    <s v="Ex-Employees"/>
    <x v="0"/>
    <x v="3"/>
    <x v="975"/>
    <x v="975"/>
    <x v="1"/>
    <x v="0"/>
    <x v="0"/>
    <s v="Yes"/>
    <s v="Y"/>
    <n v="2"/>
    <n v="-2"/>
    <n v="0"/>
    <x v="27"/>
    <x v="0"/>
    <n v="1"/>
    <n v="1"/>
    <n v="0"/>
    <n v="267"/>
    <n v="13"/>
    <x v="2"/>
    <n v="1"/>
    <n v="1"/>
    <n v="85"/>
    <n v="4"/>
    <n v="4"/>
    <n v="2"/>
    <n v="13695"/>
    <n v="9277"/>
    <n v="6"/>
    <n v="17"/>
    <n v="3"/>
    <n v="3"/>
    <n v="80"/>
    <n v="0"/>
    <n v="24"/>
    <n v="2"/>
    <n v="19"/>
    <n v="7"/>
    <n v="3"/>
    <n v="8"/>
  </r>
  <r>
    <s v="No"/>
    <s v="Travel_Rarely"/>
    <x v="3"/>
    <s v="Current Employees"/>
    <x v="1"/>
    <x v="0"/>
    <x v="976"/>
    <x v="976"/>
    <x v="1"/>
    <x v="3"/>
    <x v="1"/>
    <s v="Yes"/>
    <s v="Y"/>
    <n v="0"/>
    <n v="-2"/>
    <n v="0"/>
    <x v="29"/>
    <x v="1"/>
    <m/>
    <n v="0"/>
    <n v="1"/>
    <n v="1369"/>
    <n v="23"/>
    <x v="3"/>
    <n v="1"/>
    <n v="4"/>
    <n v="68"/>
    <n v="3"/>
    <n v="4"/>
    <n v="2"/>
    <n v="13402"/>
    <n v="18235"/>
    <n v="4"/>
    <n v="12"/>
    <n v="3"/>
    <n v="1"/>
    <n v="80"/>
    <n v="1"/>
    <n v="33"/>
    <n v="3"/>
    <n v="19"/>
    <n v="16"/>
    <n v="15"/>
    <n v="9"/>
  </r>
  <r>
    <s v="No"/>
    <s v="Non-Travel"/>
    <x v="2"/>
    <s v="Current Employees"/>
    <x v="1"/>
    <x v="4"/>
    <x v="977"/>
    <x v="977"/>
    <x v="0"/>
    <x v="1"/>
    <x v="2"/>
    <s v="No"/>
    <s v="Y"/>
    <n v="2"/>
    <n v="-2"/>
    <n v="0"/>
    <x v="13"/>
    <x v="1"/>
    <m/>
    <n v="0"/>
    <n v="1"/>
    <n v="999"/>
    <n v="26"/>
    <x v="1"/>
    <n v="1"/>
    <n v="4"/>
    <n v="92"/>
    <n v="2"/>
    <n v="1"/>
    <n v="4"/>
    <n v="2029"/>
    <n v="15891"/>
    <n v="1"/>
    <n v="20"/>
    <n v="4"/>
    <n v="3"/>
    <n v="80"/>
    <n v="3"/>
    <n v="5"/>
    <n v="3"/>
    <n v="5"/>
    <n v="4"/>
    <n v="0"/>
    <n v="0"/>
  </r>
  <r>
    <s v="No"/>
    <s v="Travel_Rarely"/>
    <x v="0"/>
    <s v="Current Employees"/>
    <x v="1"/>
    <x v="2"/>
    <x v="978"/>
    <x v="978"/>
    <x v="0"/>
    <x v="4"/>
    <x v="2"/>
    <s v="No"/>
    <s v="Y"/>
    <n v="0"/>
    <n v="-2"/>
    <n v="0"/>
    <x v="32"/>
    <x v="1"/>
    <m/>
    <n v="0"/>
    <n v="1"/>
    <n v="1202"/>
    <n v="2"/>
    <x v="1"/>
    <n v="1"/>
    <n v="2"/>
    <n v="89"/>
    <n v="4"/>
    <n v="2"/>
    <n v="3"/>
    <n v="6377"/>
    <n v="13888"/>
    <n v="5"/>
    <n v="20"/>
    <n v="4"/>
    <n v="2"/>
    <n v="80"/>
    <n v="3"/>
    <n v="15"/>
    <n v="3"/>
    <n v="12"/>
    <n v="11"/>
    <n v="11"/>
    <n v="8"/>
  </r>
  <r>
    <s v="No"/>
    <s v="Travel_Rarely"/>
    <x v="2"/>
    <s v="Current Employees"/>
    <x v="1"/>
    <x v="2"/>
    <x v="979"/>
    <x v="979"/>
    <x v="1"/>
    <x v="2"/>
    <x v="1"/>
    <s v="No"/>
    <s v="Y"/>
    <n v="1"/>
    <n v="-2"/>
    <n v="0"/>
    <x v="13"/>
    <x v="1"/>
    <m/>
    <n v="0"/>
    <n v="1"/>
    <n v="285"/>
    <n v="29"/>
    <x v="3"/>
    <n v="1"/>
    <n v="2"/>
    <n v="86"/>
    <n v="3"/>
    <n v="2"/>
    <n v="3"/>
    <n v="5429"/>
    <n v="17491"/>
    <n v="4"/>
    <n v="13"/>
    <n v="3"/>
    <n v="1"/>
    <n v="80"/>
    <n v="2"/>
    <n v="10"/>
    <n v="3"/>
    <n v="8"/>
    <n v="7"/>
    <n v="7"/>
    <n v="7"/>
  </r>
  <r>
    <s v="Yes"/>
    <s v="Travel_Frequently"/>
    <x v="2"/>
    <s v="Ex-Employees"/>
    <x v="0"/>
    <x v="0"/>
    <x v="980"/>
    <x v="980"/>
    <x v="0"/>
    <x v="6"/>
    <x v="0"/>
    <s v="No"/>
    <s v="Y"/>
    <n v="3"/>
    <n v="-2"/>
    <n v="0"/>
    <x v="12"/>
    <x v="0"/>
    <n v="1"/>
    <n v="1"/>
    <n v="0"/>
    <n v="703"/>
    <n v="2"/>
    <x v="3"/>
    <n v="1"/>
    <n v="3"/>
    <n v="90"/>
    <n v="2"/>
    <n v="1"/>
    <n v="4"/>
    <n v="2785"/>
    <n v="11882"/>
    <n v="7"/>
    <n v="14"/>
    <n v="3"/>
    <n v="3"/>
    <n v="80"/>
    <n v="0"/>
    <n v="3"/>
    <n v="4"/>
    <n v="1"/>
    <n v="0"/>
    <n v="0"/>
    <n v="0"/>
  </r>
  <r>
    <s v="Yes"/>
    <s v="Travel_Frequently"/>
    <x v="0"/>
    <s v="Ex-Employees"/>
    <x v="0"/>
    <x v="3"/>
    <x v="981"/>
    <x v="981"/>
    <x v="0"/>
    <x v="0"/>
    <x v="1"/>
    <s v="Yes"/>
    <s v="Y"/>
    <n v="0"/>
    <n v="-2"/>
    <n v="0"/>
    <x v="10"/>
    <x v="0"/>
    <n v="1"/>
    <n v="1"/>
    <n v="0"/>
    <n v="662"/>
    <n v="18"/>
    <x v="2"/>
    <n v="1"/>
    <n v="4"/>
    <n v="67"/>
    <n v="3"/>
    <n v="2"/>
    <n v="2"/>
    <n v="4614"/>
    <n v="23288"/>
    <n v="0"/>
    <n v="18"/>
    <n v="3"/>
    <n v="3"/>
    <n v="80"/>
    <n v="1"/>
    <n v="5"/>
    <n v="2"/>
    <n v="4"/>
    <n v="2"/>
    <n v="3"/>
    <n v="2"/>
  </r>
  <r>
    <s v="No"/>
    <s v="Travel_Frequently"/>
    <x v="0"/>
    <s v="Current Employees"/>
    <x v="1"/>
    <x v="0"/>
    <x v="982"/>
    <x v="982"/>
    <x v="1"/>
    <x v="1"/>
    <x v="2"/>
    <s v="No"/>
    <s v="Y"/>
    <n v="2"/>
    <n v="-2"/>
    <n v="0"/>
    <x v="8"/>
    <x v="1"/>
    <m/>
    <n v="0"/>
    <n v="1"/>
    <n v="693"/>
    <n v="7"/>
    <x v="3"/>
    <n v="1"/>
    <n v="4"/>
    <n v="57"/>
    <n v="4"/>
    <n v="1"/>
    <n v="3"/>
    <n v="2610"/>
    <n v="15748"/>
    <n v="1"/>
    <n v="11"/>
    <n v="3"/>
    <n v="4"/>
    <n v="80"/>
    <n v="3"/>
    <n v="4"/>
    <n v="3"/>
    <n v="4"/>
    <n v="2"/>
    <n v="0"/>
    <n v="3"/>
  </r>
  <r>
    <s v="No"/>
    <s v="Travel_Rarely"/>
    <x v="2"/>
    <s v="Current Employees"/>
    <x v="1"/>
    <x v="4"/>
    <x v="983"/>
    <x v="983"/>
    <x v="0"/>
    <x v="4"/>
    <x v="0"/>
    <s v="No"/>
    <s v="Y"/>
    <n v="2"/>
    <n v="-2"/>
    <n v="0"/>
    <x v="13"/>
    <x v="1"/>
    <m/>
    <n v="0"/>
    <n v="1"/>
    <n v="404"/>
    <n v="2"/>
    <x v="2"/>
    <n v="1"/>
    <n v="4"/>
    <n v="98"/>
    <n v="3"/>
    <n v="2"/>
    <n v="4"/>
    <n v="6687"/>
    <n v="6163"/>
    <n v="1"/>
    <n v="11"/>
    <n v="3"/>
    <n v="4"/>
    <n v="80"/>
    <n v="0"/>
    <n v="14"/>
    <n v="4"/>
    <n v="14"/>
    <n v="11"/>
    <n v="4"/>
    <n v="11"/>
  </r>
  <r>
    <s v="No"/>
    <s v="Travel_Rarely"/>
    <x v="2"/>
    <s v="Current Employees"/>
    <x v="0"/>
    <x v="0"/>
    <x v="984"/>
    <x v="984"/>
    <x v="1"/>
    <x v="0"/>
    <x v="1"/>
    <s v="No"/>
    <s v="Y"/>
    <n v="0"/>
    <n v="-2"/>
    <n v="0"/>
    <x v="14"/>
    <x v="1"/>
    <m/>
    <n v="0"/>
    <n v="1"/>
    <n v="736"/>
    <n v="26"/>
    <x v="3"/>
    <n v="1"/>
    <n v="3"/>
    <n v="48"/>
    <n v="2"/>
    <n v="2"/>
    <n v="3"/>
    <n v="4724"/>
    <n v="24232"/>
    <n v="1"/>
    <n v="11"/>
    <n v="3"/>
    <n v="3"/>
    <n v="80"/>
    <n v="1"/>
    <n v="5"/>
    <n v="3"/>
    <n v="5"/>
    <n v="3"/>
    <n v="0"/>
    <n v="4"/>
  </r>
  <r>
    <s v="Yes"/>
    <s v="Travel_Rarely"/>
    <x v="2"/>
    <s v="Ex-Employees"/>
    <x v="1"/>
    <x v="2"/>
    <x v="985"/>
    <x v="985"/>
    <x v="1"/>
    <x v="3"/>
    <x v="1"/>
    <s v="Yes"/>
    <s v="Y"/>
    <n v="3"/>
    <n v="-2"/>
    <n v="0"/>
    <x v="12"/>
    <x v="0"/>
    <n v="1"/>
    <n v="1"/>
    <n v="0"/>
    <n v="330"/>
    <n v="22"/>
    <x v="2"/>
    <n v="1"/>
    <n v="4"/>
    <n v="98"/>
    <n v="3"/>
    <n v="2"/>
    <n v="3"/>
    <n v="6179"/>
    <n v="21057"/>
    <n v="1"/>
    <n v="15"/>
    <n v="3"/>
    <n v="4"/>
    <n v="80"/>
    <n v="2"/>
    <n v="10"/>
    <n v="2"/>
    <n v="10"/>
    <n v="2"/>
    <n v="6"/>
    <n v="7"/>
  </r>
  <r>
    <s v="No"/>
    <s v="Travel_Rarely"/>
    <x v="0"/>
    <s v="Current Employees"/>
    <x v="0"/>
    <x v="0"/>
    <x v="986"/>
    <x v="986"/>
    <x v="1"/>
    <x v="0"/>
    <x v="1"/>
    <s v="Yes"/>
    <s v="Y"/>
    <n v="2"/>
    <n v="-2"/>
    <n v="0"/>
    <x v="22"/>
    <x v="1"/>
    <m/>
    <n v="0"/>
    <n v="1"/>
    <n v="1498"/>
    <n v="21"/>
    <x v="2"/>
    <n v="1"/>
    <n v="1"/>
    <n v="44"/>
    <n v="2"/>
    <n v="2"/>
    <n v="4"/>
    <n v="6120"/>
    <n v="3567"/>
    <n v="3"/>
    <n v="12"/>
    <n v="3"/>
    <n v="4"/>
    <n v="80"/>
    <n v="2"/>
    <n v="8"/>
    <n v="4"/>
    <n v="5"/>
    <n v="4"/>
    <n v="1"/>
    <n v="4"/>
  </r>
  <r>
    <s v="No"/>
    <s v="Travel_Frequently"/>
    <x v="1"/>
    <s v="Current Employees"/>
    <x v="0"/>
    <x v="3"/>
    <x v="987"/>
    <x v="987"/>
    <x v="1"/>
    <x v="0"/>
    <x v="1"/>
    <s v="No"/>
    <s v="Y"/>
    <n v="5"/>
    <n v="-2"/>
    <n v="0"/>
    <x v="31"/>
    <x v="1"/>
    <m/>
    <n v="0"/>
    <n v="1"/>
    <n v="541"/>
    <n v="2"/>
    <x v="3"/>
    <n v="1"/>
    <n v="2"/>
    <n v="52"/>
    <n v="3"/>
    <n v="3"/>
    <n v="2"/>
    <n v="10596"/>
    <n v="15395"/>
    <n v="2"/>
    <n v="11"/>
    <n v="3"/>
    <n v="2"/>
    <n v="80"/>
    <n v="0"/>
    <n v="14"/>
    <n v="3"/>
    <n v="4"/>
    <n v="2"/>
    <n v="3"/>
    <n v="2"/>
  </r>
  <r>
    <s v="No"/>
    <s v="Travel_Frequently"/>
    <x v="0"/>
    <s v="Current Employees"/>
    <x v="1"/>
    <x v="0"/>
    <x v="988"/>
    <x v="988"/>
    <x v="0"/>
    <x v="1"/>
    <x v="2"/>
    <s v="Yes"/>
    <s v="Y"/>
    <n v="4"/>
    <n v="-2"/>
    <n v="0"/>
    <x v="0"/>
    <x v="1"/>
    <m/>
    <n v="0"/>
    <n v="1"/>
    <n v="1200"/>
    <n v="22"/>
    <x v="3"/>
    <n v="1"/>
    <n v="4"/>
    <n v="75"/>
    <n v="3"/>
    <n v="2"/>
    <n v="4"/>
    <n v="5467"/>
    <n v="13953"/>
    <n v="3"/>
    <n v="14"/>
    <n v="3"/>
    <n v="1"/>
    <n v="80"/>
    <n v="2"/>
    <n v="12"/>
    <n v="2"/>
    <n v="6"/>
    <n v="2"/>
    <n v="3"/>
    <n v="3"/>
  </r>
  <r>
    <s v="No"/>
    <s v="Travel_Rarely"/>
    <x v="0"/>
    <s v="Current Employees"/>
    <x v="1"/>
    <x v="0"/>
    <x v="989"/>
    <x v="989"/>
    <x v="1"/>
    <x v="1"/>
    <x v="1"/>
    <s v="Yes"/>
    <s v="Y"/>
    <n v="2"/>
    <n v="-2"/>
    <n v="0"/>
    <x v="2"/>
    <x v="1"/>
    <m/>
    <n v="0"/>
    <n v="1"/>
    <n v="1439"/>
    <n v="4"/>
    <x v="1"/>
    <n v="1"/>
    <n v="3"/>
    <n v="54"/>
    <n v="3"/>
    <n v="1"/>
    <n v="3"/>
    <n v="2996"/>
    <n v="5182"/>
    <n v="7"/>
    <n v="15"/>
    <n v="3"/>
    <n v="4"/>
    <n v="80"/>
    <n v="0"/>
    <n v="8"/>
    <n v="3"/>
    <n v="6"/>
    <n v="4"/>
    <n v="1"/>
    <n v="3"/>
  </r>
  <r>
    <s v="No"/>
    <s v="Travel_Frequently"/>
    <x v="2"/>
    <s v="Current Employees"/>
    <x v="0"/>
    <x v="0"/>
    <x v="990"/>
    <x v="990"/>
    <x v="1"/>
    <x v="0"/>
    <x v="1"/>
    <s v="No"/>
    <s v="Y"/>
    <n v="2"/>
    <n v="-2"/>
    <n v="0"/>
    <x v="3"/>
    <x v="1"/>
    <m/>
    <n v="0"/>
    <n v="1"/>
    <n v="1111"/>
    <n v="5"/>
    <x v="1"/>
    <n v="1"/>
    <n v="2"/>
    <n v="61"/>
    <n v="3"/>
    <n v="2"/>
    <n v="4"/>
    <n v="9998"/>
    <n v="19293"/>
    <n v="6"/>
    <n v="13"/>
    <n v="3"/>
    <n v="1"/>
    <n v="80"/>
    <n v="0"/>
    <n v="8"/>
    <n v="4"/>
    <n v="5"/>
    <n v="4"/>
    <n v="1"/>
    <n v="2"/>
  </r>
  <r>
    <s v="No"/>
    <s v="Travel_Rarely"/>
    <x v="2"/>
    <s v="Current Employees"/>
    <x v="0"/>
    <x v="3"/>
    <x v="991"/>
    <x v="991"/>
    <x v="1"/>
    <x v="0"/>
    <x v="1"/>
    <s v="Yes"/>
    <s v="Y"/>
    <n v="3"/>
    <n v="-2"/>
    <n v="0"/>
    <x v="5"/>
    <x v="1"/>
    <m/>
    <n v="0"/>
    <n v="1"/>
    <n v="499"/>
    <n v="2"/>
    <x v="1"/>
    <n v="1"/>
    <n v="3"/>
    <n v="36"/>
    <n v="3"/>
    <n v="2"/>
    <n v="2"/>
    <n v="4078"/>
    <n v="20497"/>
    <n v="0"/>
    <n v="13"/>
    <n v="3"/>
    <n v="1"/>
    <n v="80"/>
    <n v="3"/>
    <n v="4"/>
    <n v="2"/>
    <n v="3"/>
    <n v="2"/>
    <n v="1"/>
    <n v="2"/>
  </r>
  <r>
    <s v="No"/>
    <s v="Non-Travel"/>
    <x v="0"/>
    <s v="Current Employees"/>
    <x v="1"/>
    <x v="0"/>
    <x v="992"/>
    <x v="992"/>
    <x v="1"/>
    <x v="4"/>
    <x v="1"/>
    <s v="No"/>
    <s v="Y"/>
    <n v="2"/>
    <n v="-2"/>
    <n v="0"/>
    <x v="22"/>
    <x v="1"/>
    <m/>
    <n v="0"/>
    <n v="1"/>
    <n v="1485"/>
    <n v="25"/>
    <x v="0"/>
    <n v="1"/>
    <n v="3"/>
    <n v="71"/>
    <n v="3"/>
    <n v="3"/>
    <n v="3"/>
    <n v="10920"/>
    <n v="3449"/>
    <n v="3"/>
    <n v="21"/>
    <n v="4"/>
    <n v="2"/>
    <n v="80"/>
    <n v="1"/>
    <n v="13"/>
    <n v="3"/>
    <n v="6"/>
    <n v="4"/>
    <n v="0"/>
    <n v="5"/>
  </r>
  <r>
    <s v="No"/>
    <s v="Travel_Rarely"/>
    <x v="2"/>
    <s v="Current Employees"/>
    <x v="0"/>
    <x v="0"/>
    <x v="993"/>
    <x v="993"/>
    <x v="1"/>
    <x v="0"/>
    <x v="1"/>
    <s v="No"/>
    <s v="Y"/>
    <n v="3"/>
    <n v="-2"/>
    <n v="0"/>
    <x v="36"/>
    <x v="1"/>
    <m/>
    <n v="0"/>
    <n v="1"/>
    <n v="1372"/>
    <n v="18"/>
    <x v="1"/>
    <n v="1"/>
    <n v="1"/>
    <n v="93"/>
    <n v="4"/>
    <n v="2"/>
    <n v="3"/>
    <n v="6232"/>
    <n v="12477"/>
    <n v="2"/>
    <n v="11"/>
    <n v="3"/>
    <n v="2"/>
    <n v="80"/>
    <n v="0"/>
    <n v="6"/>
    <n v="2"/>
    <n v="3"/>
    <n v="2"/>
    <n v="1"/>
    <n v="2"/>
  </r>
  <r>
    <s v="No"/>
    <s v="Travel_Frequently"/>
    <x v="1"/>
    <s v="Current Employees"/>
    <x v="1"/>
    <x v="2"/>
    <x v="994"/>
    <x v="994"/>
    <x v="0"/>
    <x v="3"/>
    <x v="1"/>
    <s v="Yes"/>
    <s v="Y"/>
    <n v="3"/>
    <n v="-2"/>
    <n v="0"/>
    <x v="39"/>
    <x v="1"/>
    <m/>
    <n v="0"/>
    <n v="1"/>
    <n v="322"/>
    <n v="28"/>
    <x v="0"/>
    <n v="1"/>
    <n v="4"/>
    <n v="59"/>
    <n v="4"/>
    <n v="4"/>
    <n v="3"/>
    <n v="13247"/>
    <n v="9731"/>
    <n v="2"/>
    <n v="11"/>
    <n v="3"/>
    <n v="2"/>
    <n v="80"/>
    <n v="1"/>
    <n v="24"/>
    <n v="2"/>
    <n v="5"/>
    <n v="3"/>
    <n v="0"/>
    <n v="2"/>
  </r>
  <r>
    <s v="No"/>
    <s v="Travel_Rarely"/>
    <x v="0"/>
    <s v="Current Employees"/>
    <x v="1"/>
    <x v="2"/>
    <x v="995"/>
    <x v="995"/>
    <x v="0"/>
    <x v="1"/>
    <x v="0"/>
    <s v="Yes"/>
    <s v="Y"/>
    <n v="3"/>
    <n v="-2"/>
    <n v="0"/>
    <x v="23"/>
    <x v="1"/>
    <m/>
    <n v="0"/>
    <n v="1"/>
    <n v="930"/>
    <n v="6"/>
    <x v="3"/>
    <n v="1"/>
    <n v="1"/>
    <n v="73"/>
    <n v="2"/>
    <n v="2"/>
    <n v="3"/>
    <n v="4081"/>
    <n v="20003"/>
    <n v="1"/>
    <n v="14"/>
    <n v="3"/>
    <n v="1"/>
    <n v="80"/>
    <n v="0"/>
    <n v="20"/>
    <n v="1"/>
    <n v="20"/>
    <n v="7"/>
    <n v="1"/>
    <n v="8"/>
  </r>
  <r>
    <s v="No"/>
    <s v="Travel_Rarely"/>
    <x v="2"/>
    <s v="Current Employees"/>
    <x v="0"/>
    <x v="3"/>
    <x v="996"/>
    <x v="996"/>
    <x v="0"/>
    <x v="0"/>
    <x v="1"/>
    <s v="Yes"/>
    <s v="Y"/>
    <n v="3"/>
    <n v="-2"/>
    <n v="0"/>
    <x v="4"/>
    <x v="1"/>
    <m/>
    <n v="0"/>
    <n v="1"/>
    <n v="205"/>
    <n v="10"/>
    <x v="3"/>
    <n v="1"/>
    <n v="4"/>
    <n v="98"/>
    <n v="2"/>
    <n v="2"/>
    <n v="2"/>
    <n v="5769"/>
    <n v="7100"/>
    <n v="1"/>
    <n v="11"/>
    <n v="3"/>
    <n v="4"/>
    <n v="80"/>
    <n v="0"/>
    <n v="6"/>
    <n v="3"/>
    <n v="6"/>
    <n v="2"/>
    <n v="4"/>
    <n v="4"/>
  </r>
  <r>
    <s v="Yes"/>
    <s v="Travel_Rarely"/>
    <x v="2"/>
    <s v="Ex-Employees"/>
    <x v="1"/>
    <x v="0"/>
    <x v="997"/>
    <x v="997"/>
    <x v="0"/>
    <x v="1"/>
    <x v="0"/>
    <s v="Yes"/>
    <s v="Y"/>
    <n v="2"/>
    <n v="-2"/>
    <n v="0"/>
    <x v="4"/>
    <x v="0"/>
    <n v="1"/>
    <n v="1"/>
    <n v="0"/>
    <n v="135"/>
    <n v="17"/>
    <x v="2"/>
    <n v="1"/>
    <n v="4"/>
    <n v="51"/>
    <n v="3"/>
    <n v="1"/>
    <n v="3"/>
    <n v="2394"/>
    <n v="25681"/>
    <n v="1"/>
    <n v="13"/>
    <n v="3"/>
    <n v="4"/>
    <n v="80"/>
    <n v="0"/>
    <n v="8"/>
    <n v="3"/>
    <n v="8"/>
    <n v="2"/>
    <n v="7"/>
    <n v="7"/>
  </r>
  <r>
    <s v="No"/>
    <s v="Travel_Rarely"/>
    <x v="2"/>
    <s v="Current Employees"/>
    <x v="1"/>
    <x v="2"/>
    <x v="998"/>
    <x v="998"/>
    <x v="1"/>
    <x v="1"/>
    <x v="0"/>
    <s v="No"/>
    <s v="Y"/>
    <n v="2"/>
    <n v="-2"/>
    <n v="0"/>
    <x v="25"/>
    <x v="1"/>
    <m/>
    <n v="0"/>
    <n v="1"/>
    <n v="683"/>
    <n v="2"/>
    <x v="1"/>
    <n v="1"/>
    <n v="1"/>
    <n v="36"/>
    <n v="2"/>
    <n v="1"/>
    <n v="4"/>
    <n v="3904"/>
    <n v="4050"/>
    <n v="0"/>
    <n v="12"/>
    <n v="3"/>
    <n v="4"/>
    <n v="80"/>
    <n v="0"/>
    <n v="5"/>
    <n v="3"/>
    <n v="4"/>
    <n v="3"/>
    <n v="1"/>
    <n v="1"/>
  </r>
  <r>
    <s v="No"/>
    <s v="Travel_Rarely"/>
    <x v="0"/>
    <s v="Current Employees"/>
    <x v="2"/>
    <x v="5"/>
    <x v="999"/>
    <x v="999"/>
    <x v="0"/>
    <x v="5"/>
    <x v="1"/>
    <s v="No"/>
    <s v="Y"/>
    <n v="5"/>
    <n v="-2"/>
    <n v="0"/>
    <x v="19"/>
    <x v="1"/>
    <m/>
    <n v="0"/>
    <n v="1"/>
    <n v="1147"/>
    <n v="10"/>
    <x v="3"/>
    <n v="1"/>
    <n v="3"/>
    <n v="31"/>
    <n v="3"/>
    <n v="4"/>
    <n v="3"/>
    <n v="16799"/>
    <n v="16616"/>
    <n v="0"/>
    <n v="14"/>
    <n v="3"/>
    <n v="3"/>
    <n v="80"/>
    <n v="1"/>
    <n v="21"/>
    <n v="3"/>
    <n v="20"/>
    <n v="7"/>
    <n v="0"/>
    <n v="9"/>
  </r>
  <r>
    <s v="No"/>
    <s v="Non-Travel"/>
    <x v="2"/>
    <s v="Current Employees"/>
    <x v="1"/>
    <x v="2"/>
    <x v="1000"/>
    <x v="1000"/>
    <x v="0"/>
    <x v="4"/>
    <x v="2"/>
    <s v="No"/>
    <s v="Y"/>
    <n v="6"/>
    <n v="-2"/>
    <n v="0"/>
    <x v="5"/>
    <x v="1"/>
    <m/>
    <n v="0"/>
    <n v="1"/>
    <n v="1146"/>
    <n v="15"/>
    <x v="2"/>
    <n v="1"/>
    <n v="3"/>
    <n v="34"/>
    <n v="3"/>
    <n v="2"/>
    <n v="4"/>
    <n v="6667"/>
    <n v="16542"/>
    <n v="5"/>
    <n v="18"/>
    <n v="3"/>
    <n v="2"/>
    <n v="80"/>
    <n v="1"/>
    <n v="9"/>
    <n v="3"/>
    <n v="5"/>
    <n v="1"/>
    <n v="1"/>
    <n v="2"/>
  </r>
  <r>
    <s v="No"/>
    <s v="Non-Travel"/>
    <x v="0"/>
    <s v="Current Employees"/>
    <x v="1"/>
    <x v="2"/>
    <x v="1001"/>
    <x v="1001"/>
    <x v="0"/>
    <x v="3"/>
    <x v="1"/>
    <s v="No"/>
    <s v="Y"/>
    <n v="6"/>
    <n v="-2"/>
    <n v="0"/>
    <x v="9"/>
    <x v="1"/>
    <m/>
    <n v="0"/>
    <n v="1"/>
    <n v="894"/>
    <n v="1"/>
    <x v="2"/>
    <n v="1"/>
    <n v="4"/>
    <n v="33"/>
    <n v="2"/>
    <n v="2"/>
    <n v="3"/>
    <n v="4374"/>
    <n v="15411"/>
    <n v="0"/>
    <n v="15"/>
    <n v="3"/>
    <n v="3"/>
    <n v="80"/>
    <n v="0"/>
    <n v="4"/>
    <n v="3"/>
    <n v="3"/>
    <n v="2"/>
    <n v="1"/>
    <n v="2"/>
  </r>
  <r>
    <s v="No"/>
    <s v="Non-Travel"/>
    <x v="0"/>
    <s v="Current Employees"/>
    <x v="1"/>
    <x v="0"/>
    <x v="1002"/>
    <x v="1002"/>
    <x v="0"/>
    <x v="4"/>
    <x v="1"/>
    <s v="No"/>
    <s v="Y"/>
    <n v="5"/>
    <n v="-2"/>
    <n v="0"/>
    <x v="10"/>
    <x v="1"/>
    <m/>
    <n v="0"/>
    <n v="1"/>
    <n v="208"/>
    <n v="8"/>
    <x v="2"/>
    <n v="1"/>
    <n v="3"/>
    <n v="52"/>
    <n v="3"/>
    <n v="2"/>
    <n v="3"/>
    <n v="4148"/>
    <n v="12250"/>
    <n v="1"/>
    <n v="12"/>
    <n v="3"/>
    <n v="4"/>
    <n v="80"/>
    <n v="1"/>
    <n v="15"/>
    <n v="3"/>
    <n v="14"/>
    <n v="11"/>
    <n v="2"/>
    <n v="9"/>
  </r>
  <r>
    <s v="No"/>
    <s v="Non-Travel"/>
    <x v="1"/>
    <s v="Current Employees"/>
    <x v="1"/>
    <x v="2"/>
    <x v="1003"/>
    <x v="1003"/>
    <x v="0"/>
    <x v="7"/>
    <x v="1"/>
    <s v="No"/>
    <s v="Y"/>
    <n v="3"/>
    <n v="-2"/>
    <n v="0"/>
    <x v="40"/>
    <x v="1"/>
    <m/>
    <n v="0"/>
    <n v="1"/>
    <n v="1162"/>
    <n v="1"/>
    <x v="1"/>
    <n v="1"/>
    <n v="3"/>
    <n v="98"/>
    <n v="3"/>
    <n v="3"/>
    <n v="2"/>
    <n v="11957"/>
    <n v="17231"/>
    <n v="0"/>
    <n v="18"/>
    <n v="3"/>
    <n v="1"/>
    <n v="80"/>
    <n v="2"/>
    <n v="14"/>
    <n v="1"/>
    <n v="13"/>
    <n v="8"/>
    <n v="5"/>
    <n v="12"/>
  </r>
  <r>
    <s v="No"/>
    <s v="Non-Travel"/>
    <x v="4"/>
    <s v="Current Employees"/>
    <x v="1"/>
    <x v="2"/>
    <x v="1004"/>
    <x v="1004"/>
    <x v="0"/>
    <x v="1"/>
    <x v="0"/>
    <s v="No"/>
    <s v="Y"/>
    <n v="4"/>
    <n v="-2"/>
    <n v="0"/>
    <x v="41"/>
    <x v="1"/>
    <m/>
    <n v="0"/>
    <n v="1"/>
    <n v="1431"/>
    <n v="14"/>
    <x v="3"/>
    <n v="1"/>
    <n v="2"/>
    <n v="33"/>
    <n v="3"/>
    <n v="1"/>
    <n v="3"/>
    <n v="1514"/>
    <n v="8018"/>
    <n v="1"/>
    <n v="16"/>
    <n v="3"/>
    <n v="3"/>
    <n v="80"/>
    <n v="0"/>
    <n v="0"/>
    <n v="1"/>
    <n v="0"/>
    <n v="0"/>
    <n v="0"/>
    <n v="0"/>
  </r>
  <r>
    <s v="No"/>
    <s v="Non-Travel"/>
    <x v="0"/>
    <s v="Current Employees"/>
    <x v="0"/>
    <x v="0"/>
    <x v="1005"/>
    <x v="1005"/>
    <x v="0"/>
    <x v="0"/>
    <x v="1"/>
    <s v="No"/>
    <s v="Y"/>
    <n v="1"/>
    <n v="-2"/>
    <n v="0"/>
    <x v="22"/>
    <x v="1"/>
    <m/>
    <n v="0"/>
    <n v="1"/>
    <n v="1251"/>
    <n v="21"/>
    <x v="2"/>
    <n v="1"/>
    <n v="1"/>
    <n v="32"/>
    <n v="1"/>
    <n v="2"/>
    <n v="3"/>
    <n v="5736"/>
    <n v="3987"/>
    <n v="6"/>
    <n v="19"/>
    <n v="3"/>
    <n v="3"/>
    <n v="80"/>
    <n v="1"/>
    <n v="10"/>
    <n v="3"/>
    <n v="3"/>
    <n v="2"/>
    <n v="1"/>
    <n v="2"/>
  </r>
  <r>
    <s v="No"/>
    <s v="Non-Travel"/>
    <x v="4"/>
    <s v="Current Employees"/>
    <x v="0"/>
    <x v="0"/>
    <x v="1006"/>
    <x v="1006"/>
    <x v="0"/>
    <x v="6"/>
    <x v="1"/>
    <s v="No"/>
    <s v="Y"/>
    <n v="2"/>
    <n v="-2"/>
    <n v="0"/>
    <x v="17"/>
    <x v="1"/>
    <m/>
    <n v="0"/>
    <n v="1"/>
    <n v="830"/>
    <n v="13"/>
    <x v="0"/>
    <n v="1"/>
    <n v="4"/>
    <n v="78"/>
    <n v="3"/>
    <n v="1"/>
    <n v="2"/>
    <n v="2033"/>
    <n v="7103"/>
    <n v="1"/>
    <n v="13"/>
    <n v="3"/>
    <n v="3"/>
    <n v="80"/>
    <n v="1"/>
    <n v="1"/>
    <n v="3"/>
    <n v="1"/>
    <n v="0"/>
    <n v="0"/>
    <n v="0"/>
  </r>
  <r>
    <s v="No"/>
    <s v="Non-Travel"/>
    <x v="2"/>
    <s v="Current Employees"/>
    <x v="0"/>
    <x v="3"/>
    <x v="1007"/>
    <x v="1007"/>
    <x v="0"/>
    <x v="0"/>
    <x v="0"/>
    <s v="No"/>
    <s v="Y"/>
    <n v="2"/>
    <n v="-2"/>
    <n v="0"/>
    <x v="3"/>
    <x v="1"/>
    <m/>
    <n v="0"/>
    <n v="1"/>
    <n v="1283"/>
    <n v="2"/>
    <x v="3"/>
    <n v="1"/>
    <n v="4"/>
    <n v="62"/>
    <n v="3"/>
    <n v="2"/>
    <n v="2"/>
    <n v="5147"/>
    <n v="10697"/>
    <n v="8"/>
    <n v="15"/>
    <n v="3"/>
    <n v="4"/>
    <n v="80"/>
    <n v="0"/>
    <n v="13"/>
    <n v="2"/>
    <n v="11"/>
    <n v="7"/>
    <n v="1"/>
    <n v="7"/>
  </r>
  <r>
    <s v="No"/>
    <s v="Travel_Frequently"/>
    <x v="1"/>
    <s v="Current Employees"/>
    <x v="1"/>
    <x v="2"/>
    <x v="1008"/>
    <x v="1008"/>
    <x v="0"/>
    <x v="5"/>
    <x v="2"/>
    <s v="No"/>
    <s v="Y"/>
    <n v="3"/>
    <n v="-2"/>
    <n v="0"/>
    <x v="26"/>
    <x v="1"/>
    <m/>
    <n v="0"/>
    <n v="1"/>
    <n v="117"/>
    <n v="22"/>
    <x v="3"/>
    <n v="1"/>
    <n v="4"/>
    <n v="58"/>
    <n v="3"/>
    <n v="4"/>
    <n v="4"/>
    <n v="17174"/>
    <n v="2437"/>
    <n v="3"/>
    <n v="11"/>
    <n v="3"/>
    <n v="2"/>
    <n v="80"/>
    <n v="1"/>
    <n v="24"/>
    <n v="3"/>
    <n v="22"/>
    <n v="17"/>
    <n v="4"/>
    <n v="7"/>
  </r>
  <r>
    <s v="No"/>
    <s v="Travel_Frequently"/>
    <x v="0"/>
    <s v="Current Employees"/>
    <x v="1"/>
    <x v="0"/>
    <x v="1009"/>
    <x v="1009"/>
    <x v="0"/>
    <x v="3"/>
    <x v="2"/>
    <s v="No"/>
    <s v="Y"/>
    <n v="3"/>
    <n v="-2"/>
    <n v="0"/>
    <x v="9"/>
    <x v="1"/>
    <m/>
    <n v="0"/>
    <n v="1"/>
    <n v="688"/>
    <n v="4"/>
    <x v="0"/>
    <n v="1"/>
    <n v="4"/>
    <n v="97"/>
    <n v="3"/>
    <n v="2"/>
    <n v="2"/>
    <n v="5131"/>
    <n v="9192"/>
    <n v="7"/>
    <n v="13"/>
    <n v="3"/>
    <n v="2"/>
    <n v="80"/>
    <n v="3"/>
    <n v="18"/>
    <n v="3"/>
    <n v="4"/>
    <n v="2"/>
    <n v="0"/>
    <n v="2"/>
  </r>
  <r>
    <s v="No"/>
    <s v="Travel_Frequently"/>
    <x v="0"/>
    <s v="Current Employees"/>
    <x v="1"/>
    <x v="2"/>
    <x v="1010"/>
    <x v="1010"/>
    <x v="0"/>
    <x v="2"/>
    <x v="1"/>
    <s v="No"/>
    <s v="Y"/>
    <n v="4"/>
    <n v="-2"/>
    <n v="0"/>
    <x v="8"/>
    <x v="1"/>
    <m/>
    <n v="0"/>
    <n v="1"/>
    <n v="594"/>
    <n v="2"/>
    <x v="0"/>
    <n v="1"/>
    <n v="3"/>
    <n v="75"/>
    <n v="2"/>
    <n v="1"/>
    <n v="2"/>
    <n v="2468"/>
    <n v="15963"/>
    <n v="4"/>
    <n v="14"/>
    <n v="3"/>
    <n v="2"/>
    <n v="80"/>
    <n v="1"/>
    <n v="9"/>
    <n v="2"/>
    <n v="6"/>
    <n v="1"/>
    <n v="0"/>
    <n v="5"/>
  </r>
  <r>
    <s v="No"/>
    <s v="Travel_Frequently"/>
    <x v="2"/>
    <s v="Current Employees"/>
    <x v="1"/>
    <x v="0"/>
    <x v="1011"/>
    <x v="1011"/>
    <x v="0"/>
    <x v="1"/>
    <x v="1"/>
    <s v="No"/>
    <s v="Y"/>
    <n v="2"/>
    <n v="-2"/>
    <n v="0"/>
    <x v="4"/>
    <x v="1"/>
    <m/>
    <n v="0"/>
    <n v="1"/>
    <n v="1131"/>
    <n v="15"/>
    <x v="3"/>
    <n v="1"/>
    <n v="4"/>
    <n v="77"/>
    <n v="2"/>
    <n v="1"/>
    <n v="3"/>
    <n v="4774"/>
    <n v="23844"/>
    <n v="0"/>
    <n v="19"/>
    <n v="3"/>
    <n v="4"/>
    <n v="80"/>
    <n v="1"/>
    <n v="8"/>
    <n v="2"/>
    <n v="7"/>
    <n v="6"/>
    <n v="7"/>
    <n v="3"/>
  </r>
  <r>
    <s v="No"/>
    <s v="Travel_Frequently"/>
    <x v="0"/>
    <s v="Current Employees"/>
    <x v="1"/>
    <x v="4"/>
    <x v="1012"/>
    <x v="1012"/>
    <x v="0"/>
    <x v="2"/>
    <x v="1"/>
    <s v="No"/>
    <s v="Y"/>
    <n v="2"/>
    <n v="-2"/>
    <n v="0"/>
    <x v="32"/>
    <x v="1"/>
    <m/>
    <n v="0"/>
    <n v="1"/>
    <n v="692"/>
    <n v="11"/>
    <x v="3"/>
    <n v="1"/>
    <n v="4"/>
    <n v="73"/>
    <n v="3"/>
    <n v="2"/>
    <n v="4"/>
    <n v="6323"/>
    <n v="26849"/>
    <n v="1"/>
    <n v="11"/>
    <n v="3"/>
    <n v="1"/>
    <n v="80"/>
    <n v="1"/>
    <n v="10"/>
    <n v="4"/>
    <n v="10"/>
    <n v="9"/>
    <n v="9"/>
    <n v="4"/>
  </r>
  <r>
    <s v="No"/>
    <s v="Travel_Frequently"/>
    <x v="2"/>
    <s v="Current Employees"/>
    <x v="1"/>
    <x v="0"/>
    <x v="1013"/>
    <x v="1013"/>
    <x v="0"/>
    <x v="2"/>
    <x v="1"/>
    <s v="No"/>
    <s v="Y"/>
    <n v="3"/>
    <n v="-2"/>
    <n v="0"/>
    <x v="11"/>
    <x v="1"/>
    <m/>
    <n v="0"/>
    <n v="1"/>
    <n v="410"/>
    <n v="2"/>
    <x v="1"/>
    <n v="1"/>
    <n v="4"/>
    <n v="97"/>
    <n v="3"/>
    <n v="1"/>
    <n v="2"/>
    <n v="3180"/>
    <n v="4668"/>
    <n v="0"/>
    <n v="13"/>
    <n v="3"/>
    <n v="3"/>
    <n v="80"/>
    <n v="3"/>
    <n v="4"/>
    <n v="3"/>
    <n v="3"/>
    <n v="2"/>
    <n v="0"/>
    <n v="2"/>
  </r>
  <r>
    <s v="No"/>
    <s v="Travel_Frequently"/>
    <x v="0"/>
    <s v="Current Employees"/>
    <x v="1"/>
    <x v="2"/>
    <x v="1014"/>
    <x v="1014"/>
    <x v="0"/>
    <x v="3"/>
    <x v="0"/>
    <s v="No"/>
    <s v="Y"/>
    <n v="2"/>
    <n v="-2"/>
    <n v="0"/>
    <x v="22"/>
    <x v="1"/>
    <m/>
    <n v="0"/>
    <n v="1"/>
    <n v="711"/>
    <n v="4"/>
    <x v="3"/>
    <n v="1"/>
    <n v="1"/>
    <n v="81"/>
    <n v="3"/>
    <n v="2"/>
    <n v="3"/>
    <n v="5042"/>
    <n v="3140"/>
    <n v="0"/>
    <n v="13"/>
    <n v="3"/>
    <n v="4"/>
    <n v="80"/>
    <n v="0"/>
    <n v="10"/>
    <n v="1"/>
    <n v="9"/>
    <n v="2"/>
    <n v="3"/>
    <n v="8"/>
  </r>
  <r>
    <s v="No"/>
    <s v="Travel_Frequently"/>
    <x v="0"/>
    <s v="Current Employees"/>
    <x v="1"/>
    <x v="2"/>
    <x v="1015"/>
    <x v="1015"/>
    <x v="0"/>
    <x v="2"/>
    <x v="0"/>
    <s v="No"/>
    <s v="Y"/>
    <n v="3"/>
    <n v="-2"/>
    <n v="0"/>
    <x v="19"/>
    <x v="1"/>
    <m/>
    <n v="0"/>
    <n v="1"/>
    <n v="748"/>
    <n v="9"/>
    <x v="0"/>
    <n v="1"/>
    <n v="1"/>
    <n v="74"/>
    <n v="3"/>
    <n v="1"/>
    <n v="4"/>
    <n v="3673"/>
    <n v="16458"/>
    <n v="1"/>
    <n v="13"/>
    <n v="3"/>
    <n v="3"/>
    <n v="80"/>
    <n v="0"/>
    <n v="12"/>
    <n v="3"/>
    <n v="12"/>
    <n v="9"/>
    <n v="5"/>
    <n v="8"/>
  </r>
  <r>
    <s v="No"/>
    <s v="Travel_Frequently"/>
    <x v="2"/>
    <s v="Current Employees"/>
    <x v="1"/>
    <x v="4"/>
    <x v="1016"/>
    <x v="1016"/>
    <x v="0"/>
    <x v="1"/>
    <x v="0"/>
    <s v="No"/>
    <s v="Y"/>
    <n v="2"/>
    <n v="-2"/>
    <n v="0"/>
    <x v="7"/>
    <x v="1"/>
    <m/>
    <n v="0"/>
    <n v="1"/>
    <n v="1312"/>
    <n v="2"/>
    <x v="2"/>
    <n v="1"/>
    <n v="4"/>
    <n v="78"/>
    <n v="2"/>
    <n v="1"/>
    <n v="4"/>
    <n v="4968"/>
    <n v="26427"/>
    <n v="0"/>
    <n v="16"/>
    <n v="3"/>
    <n v="4"/>
    <n v="80"/>
    <n v="0"/>
    <n v="10"/>
    <n v="3"/>
    <n v="9"/>
    <n v="7"/>
    <n v="0"/>
    <n v="7"/>
  </r>
  <r>
    <s v="No"/>
    <s v="Travel_Frequently"/>
    <x v="0"/>
    <s v="Current Employees"/>
    <x v="0"/>
    <x v="3"/>
    <x v="1017"/>
    <x v="1017"/>
    <x v="0"/>
    <x v="0"/>
    <x v="1"/>
    <s v="No"/>
    <s v="Y"/>
    <n v="4"/>
    <n v="-2"/>
    <n v="0"/>
    <x v="20"/>
    <x v="1"/>
    <m/>
    <n v="0"/>
    <n v="1"/>
    <n v="383"/>
    <n v="1"/>
    <x v="4"/>
    <n v="1"/>
    <n v="1"/>
    <n v="79"/>
    <n v="3"/>
    <n v="2"/>
    <n v="2"/>
    <n v="4768"/>
    <n v="9282"/>
    <n v="7"/>
    <n v="12"/>
    <n v="3"/>
    <n v="3"/>
    <n v="80"/>
    <n v="1"/>
    <n v="11"/>
    <n v="2"/>
    <n v="1"/>
    <n v="0"/>
    <n v="0"/>
    <n v="0"/>
  </r>
  <r>
    <s v="No"/>
    <s v="Travel_Frequently"/>
    <x v="2"/>
    <s v="Current Employees"/>
    <x v="0"/>
    <x v="3"/>
    <x v="1018"/>
    <x v="1018"/>
    <x v="0"/>
    <x v="0"/>
    <x v="1"/>
    <s v="No"/>
    <s v="Y"/>
    <n v="3"/>
    <n v="-2"/>
    <n v="0"/>
    <x v="12"/>
    <x v="1"/>
    <m/>
    <n v="0"/>
    <n v="1"/>
    <n v="1125"/>
    <n v="7"/>
    <x v="2"/>
    <n v="1"/>
    <n v="1"/>
    <n v="68"/>
    <n v="3"/>
    <n v="3"/>
    <n v="2"/>
    <n v="9637"/>
    <n v="8277"/>
    <n v="2"/>
    <n v="14"/>
    <n v="3"/>
    <n v="4"/>
    <n v="80"/>
    <n v="2"/>
    <n v="9"/>
    <n v="3"/>
    <n v="3"/>
    <n v="2"/>
    <n v="2"/>
    <n v="2"/>
  </r>
  <r>
    <s v="No"/>
    <s v="Travel_Rarely"/>
    <x v="2"/>
    <s v="Current Employees"/>
    <x v="2"/>
    <x v="5"/>
    <x v="1019"/>
    <x v="1019"/>
    <x v="0"/>
    <x v="8"/>
    <x v="1"/>
    <s v="No"/>
    <s v="Y"/>
    <n v="3"/>
    <n v="-2"/>
    <n v="0"/>
    <x v="36"/>
    <x v="1"/>
    <m/>
    <n v="0"/>
    <n v="1"/>
    <n v="309"/>
    <n v="2"/>
    <x v="3"/>
    <n v="1"/>
    <n v="3"/>
    <n v="82"/>
    <n v="3"/>
    <n v="1"/>
    <n v="2"/>
    <n v="2187"/>
    <n v="19655"/>
    <n v="4"/>
    <n v="14"/>
    <n v="3"/>
    <n v="3"/>
    <n v="80"/>
    <n v="0"/>
    <n v="6"/>
    <n v="3"/>
    <n v="2"/>
    <n v="0"/>
    <n v="1"/>
    <n v="2"/>
  </r>
  <r>
    <s v="No"/>
    <s v="Travel_Rarely"/>
    <x v="1"/>
    <s v="Current Employees"/>
    <x v="2"/>
    <x v="0"/>
    <x v="1020"/>
    <x v="1020"/>
    <x v="0"/>
    <x v="5"/>
    <x v="1"/>
    <s v="No"/>
    <s v="Y"/>
    <n v="2"/>
    <n v="-2"/>
    <n v="0"/>
    <x v="40"/>
    <x v="1"/>
    <m/>
    <n v="0"/>
    <n v="1"/>
    <n v="1176"/>
    <n v="26"/>
    <x v="2"/>
    <n v="1"/>
    <n v="4"/>
    <n v="98"/>
    <n v="3"/>
    <n v="5"/>
    <n v="3"/>
    <n v="19658"/>
    <n v="5220"/>
    <n v="3"/>
    <n v="11"/>
    <n v="3"/>
    <n v="3"/>
    <n v="80"/>
    <n v="1"/>
    <n v="27"/>
    <n v="3"/>
    <n v="5"/>
    <n v="2"/>
    <n v="1"/>
    <n v="0"/>
  </r>
  <r>
    <s v="No"/>
    <s v="Travel_Rarely"/>
    <x v="2"/>
    <s v="Current Employees"/>
    <x v="2"/>
    <x v="2"/>
    <x v="1021"/>
    <x v="1021"/>
    <x v="0"/>
    <x v="8"/>
    <x v="0"/>
    <s v="No"/>
    <s v="Y"/>
    <n v="3"/>
    <n v="-2"/>
    <n v="0"/>
    <x v="12"/>
    <x v="1"/>
    <m/>
    <n v="0"/>
    <n v="1"/>
    <n v="1398"/>
    <n v="8"/>
    <x v="0"/>
    <n v="1"/>
    <n v="4"/>
    <n v="96"/>
    <n v="4"/>
    <n v="1"/>
    <n v="2"/>
    <n v="2109"/>
    <n v="24609"/>
    <n v="9"/>
    <n v="18"/>
    <n v="3"/>
    <n v="4"/>
    <n v="80"/>
    <n v="0"/>
    <n v="8"/>
    <n v="3"/>
    <n v="3"/>
    <n v="2"/>
    <n v="0"/>
    <n v="2"/>
  </r>
  <r>
    <s v="No"/>
    <s v="Travel_Rarely"/>
    <x v="2"/>
    <s v="Current Employees"/>
    <x v="1"/>
    <x v="2"/>
    <x v="1022"/>
    <x v="1022"/>
    <x v="0"/>
    <x v="2"/>
    <x v="2"/>
    <s v="No"/>
    <s v="Y"/>
    <n v="0"/>
    <n v="-2"/>
    <n v="0"/>
    <x v="12"/>
    <x v="1"/>
    <m/>
    <n v="0"/>
    <n v="1"/>
    <n v="471"/>
    <n v="4"/>
    <x v="3"/>
    <n v="1"/>
    <n v="1"/>
    <n v="62"/>
    <n v="4"/>
    <n v="1"/>
    <n v="3"/>
    <n v="3978"/>
    <n v="16031"/>
    <n v="8"/>
    <n v="12"/>
    <n v="3"/>
    <n v="2"/>
    <n v="80"/>
    <n v="1"/>
    <n v="4"/>
    <n v="2"/>
    <n v="2"/>
    <n v="2"/>
    <n v="2"/>
    <n v="2"/>
  </r>
  <r>
    <s v="No"/>
    <s v="Travel_Rarely"/>
    <x v="0"/>
    <s v="Current Employees"/>
    <x v="1"/>
    <x v="0"/>
    <x v="1023"/>
    <x v="1023"/>
    <x v="0"/>
    <x v="4"/>
    <x v="2"/>
    <s v="No"/>
    <s v="Y"/>
    <n v="3"/>
    <n v="-2"/>
    <n v="0"/>
    <x v="32"/>
    <x v="1"/>
    <m/>
    <n v="0"/>
    <n v="1"/>
    <n v="750"/>
    <n v="12"/>
    <x v="3"/>
    <n v="1"/>
    <n v="2"/>
    <n v="47"/>
    <n v="3"/>
    <n v="2"/>
    <n v="3"/>
    <n v="4448"/>
    <n v="10748"/>
    <n v="2"/>
    <n v="12"/>
    <n v="3"/>
    <n v="2"/>
    <n v="80"/>
    <n v="1"/>
    <n v="15"/>
    <n v="3"/>
    <n v="7"/>
    <n v="4"/>
    <n v="7"/>
    <n v="7"/>
  </r>
  <r>
    <s v="No"/>
    <s v="Travel_Rarely"/>
    <x v="0"/>
    <s v="Current Employees"/>
    <x v="1"/>
    <x v="0"/>
    <x v="1024"/>
    <x v="1024"/>
    <x v="0"/>
    <x v="4"/>
    <x v="2"/>
    <s v="No"/>
    <s v="Y"/>
    <n v="3"/>
    <n v="-2"/>
    <n v="0"/>
    <x v="32"/>
    <x v="1"/>
    <m/>
    <n v="0"/>
    <n v="1"/>
    <n v="1194"/>
    <n v="1"/>
    <x v="3"/>
    <n v="1"/>
    <n v="3"/>
    <n v="52"/>
    <n v="3"/>
    <n v="2"/>
    <n v="4"/>
    <n v="6513"/>
    <n v="9060"/>
    <n v="4"/>
    <n v="17"/>
    <n v="3"/>
    <n v="4"/>
    <n v="80"/>
    <n v="1"/>
    <n v="12"/>
    <n v="3"/>
    <n v="5"/>
    <n v="3"/>
    <n v="0"/>
    <n v="3"/>
  </r>
  <r>
    <s v="No"/>
    <s v="Travel_Rarely"/>
    <x v="2"/>
    <s v="Current Employees"/>
    <x v="1"/>
    <x v="4"/>
    <x v="1025"/>
    <x v="1025"/>
    <x v="0"/>
    <x v="1"/>
    <x v="2"/>
    <s v="No"/>
    <s v="Y"/>
    <n v="2"/>
    <n v="-2"/>
    <n v="0"/>
    <x v="11"/>
    <x v="1"/>
    <m/>
    <n v="0"/>
    <n v="1"/>
    <n v="590"/>
    <n v="4"/>
    <x v="3"/>
    <n v="1"/>
    <n v="4"/>
    <n v="91"/>
    <n v="2"/>
    <n v="1"/>
    <n v="4"/>
    <n v="2109"/>
    <n v="10007"/>
    <n v="1"/>
    <n v="13"/>
    <n v="3"/>
    <n v="3"/>
    <n v="80"/>
    <n v="1"/>
    <n v="1"/>
    <n v="3"/>
    <n v="1"/>
    <n v="0"/>
    <n v="0"/>
    <n v="0"/>
  </r>
  <r>
    <s v="No"/>
    <s v="Travel_Rarely"/>
    <x v="2"/>
    <s v="Current Employees"/>
    <x v="1"/>
    <x v="0"/>
    <x v="1026"/>
    <x v="1026"/>
    <x v="0"/>
    <x v="1"/>
    <x v="2"/>
    <s v="No"/>
    <s v="Y"/>
    <n v="2"/>
    <n v="-2"/>
    <n v="0"/>
    <x v="13"/>
    <x v="1"/>
    <m/>
    <n v="0"/>
    <n v="1"/>
    <n v="1130"/>
    <n v="3"/>
    <x v="3"/>
    <n v="1"/>
    <n v="4"/>
    <n v="66"/>
    <n v="3"/>
    <n v="2"/>
    <n v="2"/>
    <n v="5433"/>
    <n v="19332"/>
    <n v="1"/>
    <n v="12"/>
    <n v="3"/>
    <n v="3"/>
    <n v="80"/>
    <n v="1"/>
    <n v="11"/>
    <n v="3"/>
    <n v="11"/>
    <n v="8"/>
    <n v="7"/>
    <n v="9"/>
  </r>
  <r>
    <s v="No"/>
    <s v="Travel_Rarely"/>
    <x v="1"/>
    <s v="Current Employees"/>
    <x v="1"/>
    <x v="1"/>
    <x v="1027"/>
    <x v="1027"/>
    <x v="0"/>
    <x v="3"/>
    <x v="2"/>
    <s v="No"/>
    <s v="Y"/>
    <n v="3"/>
    <n v="-2"/>
    <n v="0"/>
    <x v="28"/>
    <x v="1"/>
    <m/>
    <n v="0"/>
    <n v="1"/>
    <n v="1329"/>
    <n v="2"/>
    <x v="0"/>
    <n v="1"/>
    <n v="4"/>
    <n v="59"/>
    <n v="2"/>
    <n v="2"/>
    <n v="4"/>
    <n v="5770"/>
    <n v="5388"/>
    <n v="1"/>
    <n v="19"/>
    <n v="3"/>
    <n v="1"/>
    <n v="80"/>
    <n v="2"/>
    <n v="10"/>
    <n v="3"/>
    <n v="10"/>
    <n v="7"/>
    <n v="3"/>
    <n v="9"/>
  </r>
  <r>
    <s v="No"/>
    <s v="Travel_Rarely"/>
    <x v="1"/>
    <s v="Current Employees"/>
    <x v="1"/>
    <x v="0"/>
    <x v="1028"/>
    <x v="1028"/>
    <x v="0"/>
    <x v="7"/>
    <x v="2"/>
    <s v="No"/>
    <s v="Y"/>
    <n v="3"/>
    <n v="-2"/>
    <n v="0"/>
    <x v="24"/>
    <x v="1"/>
    <m/>
    <n v="0"/>
    <n v="1"/>
    <n v="813"/>
    <n v="17"/>
    <x v="4"/>
    <n v="1"/>
    <n v="4"/>
    <n v="50"/>
    <n v="2"/>
    <n v="3"/>
    <n v="3"/>
    <n v="13269"/>
    <n v="21981"/>
    <n v="5"/>
    <n v="15"/>
    <n v="3"/>
    <n v="3"/>
    <n v="80"/>
    <n v="3"/>
    <n v="19"/>
    <n v="3"/>
    <n v="14"/>
    <n v="11"/>
    <n v="1"/>
    <n v="11"/>
  </r>
  <r>
    <s v="No"/>
    <s v="Travel_Rarely"/>
    <x v="2"/>
    <s v="Current Employees"/>
    <x v="1"/>
    <x v="2"/>
    <x v="1029"/>
    <x v="1029"/>
    <x v="0"/>
    <x v="2"/>
    <x v="1"/>
    <s v="No"/>
    <s v="Y"/>
    <n v="5"/>
    <n v="-2"/>
    <n v="0"/>
    <x v="3"/>
    <x v="1"/>
    <m/>
    <n v="0"/>
    <n v="1"/>
    <n v="1099"/>
    <n v="4"/>
    <x v="2"/>
    <n v="1"/>
    <n v="1"/>
    <n v="82"/>
    <n v="2"/>
    <n v="1"/>
    <n v="2"/>
    <n v="3838"/>
    <n v="8192"/>
    <n v="8"/>
    <n v="11"/>
    <n v="3"/>
    <n v="4"/>
    <n v="80"/>
    <n v="0"/>
    <n v="8"/>
    <n v="3"/>
    <n v="5"/>
    <n v="4"/>
    <n v="0"/>
    <n v="2"/>
  </r>
  <r>
    <s v="No"/>
    <s v="Travel_Rarely"/>
    <x v="0"/>
    <s v="Current Employees"/>
    <x v="1"/>
    <x v="2"/>
    <x v="1030"/>
    <x v="1030"/>
    <x v="0"/>
    <x v="5"/>
    <x v="1"/>
    <s v="No"/>
    <s v="Y"/>
    <n v="2"/>
    <n v="-2"/>
    <n v="0"/>
    <x v="23"/>
    <x v="1"/>
    <m/>
    <n v="0"/>
    <n v="1"/>
    <n v="823"/>
    <n v="6"/>
    <x v="3"/>
    <n v="1"/>
    <n v="1"/>
    <n v="81"/>
    <n v="2"/>
    <n v="5"/>
    <n v="3"/>
    <n v="19392"/>
    <n v="22539"/>
    <n v="7"/>
    <n v="13"/>
    <n v="3"/>
    <n v="4"/>
    <n v="80"/>
    <n v="0"/>
    <n v="21"/>
    <n v="3"/>
    <n v="16"/>
    <n v="12"/>
    <n v="6"/>
    <n v="14"/>
  </r>
  <r>
    <s v="No"/>
    <s v="Travel_Rarely"/>
    <x v="1"/>
    <s v="Current Employees"/>
    <x v="1"/>
    <x v="4"/>
    <x v="1031"/>
    <x v="1031"/>
    <x v="0"/>
    <x v="5"/>
    <x v="1"/>
    <s v="No"/>
    <s v="Y"/>
    <n v="2"/>
    <n v="-2"/>
    <n v="0"/>
    <x v="31"/>
    <x v="1"/>
    <m/>
    <n v="0"/>
    <n v="1"/>
    <n v="942"/>
    <n v="3"/>
    <x v="3"/>
    <n v="1"/>
    <n v="4"/>
    <n v="53"/>
    <n v="3"/>
    <n v="3"/>
    <n v="4"/>
    <n v="13116"/>
    <n v="22984"/>
    <n v="2"/>
    <n v="11"/>
    <n v="3"/>
    <n v="4"/>
    <n v="80"/>
    <n v="0"/>
    <n v="15"/>
    <n v="3"/>
    <n v="2"/>
    <n v="2"/>
    <n v="2"/>
    <n v="2"/>
  </r>
  <r>
    <s v="No"/>
    <s v="Travel_Rarely"/>
    <x v="2"/>
    <s v="Current Employees"/>
    <x v="1"/>
    <x v="0"/>
    <x v="1032"/>
    <x v="1032"/>
    <x v="0"/>
    <x v="1"/>
    <x v="1"/>
    <s v="No"/>
    <s v="Y"/>
    <n v="3"/>
    <n v="-2"/>
    <n v="0"/>
    <x v="13"/>
    <x v="1"/>
    <m/>
    <n v="0"/>
    <n v="1"/>
    <n v="678"/>
    <n v="19"/>
    <x v="3"/>
    <n v="1"/>
    <n v="2"/>
    <n v="35"/>
    <n v="2"/>
    <n v="1"/>
    <n v="4"/>
    <n v="2929"/>
    <n v="20338"/>
    <n v="1"/>
    <n v="12"/>
    <n v="3"/>
    <n v="2"/>
    <n v="80"/>
    <n v="0"/>
    <n v="10"/>
    <n v="3"/>
    <n v="10"/>
    <n v="9"/>
    <n v="8"/>
    <n v="7"/>
  </r>
  <r>
    <s v="No"/>
    <s v="Travel_Rarely"/>
    <x v="2"/>
    <s v="Current Employees"/>
    <x v="1"/>
    <x v="2"/>
    <x v="1033"/>
    <x v="1033"/>
    <x v="0"/>
    <x v="1"/>
    <x v="1"/>
    <s v="No"/>
    <s v="Y"/>
    <n v="0"/>
    <n v="-2"/>
    <n v="0"/>
    <x v="4"/>
    <x v="1"/>
    <m/>
    <n v="0"/>
    <n v="1"/>
    <n v="486"/>
    <n v="8"/>
    <x v="3"/>
    <n v="1"/>
    <n v="2"/>
    <n v="86"/>
    <n v="4"/>
    <n v="1"/>
    <n v="3"/>
    <n v="3517"/>
    <n v="22490"/>
    <n v="7"/>
    <n v="17"/>
    <n v="3"/>
    <n v="1"/>
    <n v="80"/>
    <n v="0"/>
    <n v="5"/>
    <n v="3"/>
    <n v="3"/>
    <n v="2"/>
    <n v="0"/>
    <n v="2"/>
  </r>
  <r>
    <s v="No"/>
    <s v="Travel_Rarely"/>
    <x v="1"/>
    <s v="Current Employees"/>
    <x v="1"/>
    <x v="1"/>
    <x v="1034"/>
    <x v="1034"/>
    <x v="0"/>
    <x v="2"/>
    <x v="1"/>
    <s v="No"/>
    <s v="Y"/>
    <n v="2"/>
    <n v="-2"/>
    <n v="0"/>
    <x v="39"/>
    <x v="1"/>
    <m/>
    <n v="0"/>
    <n v="1"/>
    <n v="258"/>
    <n v="8"/>
    <x v="2"/>
    <n v="1"/>
    <n v="3"/>
    <n v="54"/>
    <n v="3"/>
    <n v="1"/>
    <n v="3"/>
    <n v="2950"/>
    <n v="17363"/>
    <n v="9"/>
    <n v="13"/>
    <n v="3"/>
    <n v="3"/>
    <n v="80"/>
    <n v="0"/>
    <n v="12"/>
    <n v="1"/>
    <n v="5"/>
    <n v="4"/>
    <n v="0"/>
    <n v="4"/>
  </r>
  <r>
    <s v="No"/>
    <s v="Travel_Rarely"/>
    <x v="0"/>
    <s v="Current Employees"/>
    <x v="1"/>
    <x v="2"/>
    <x v="1035"/>
    <x v="1035"/>
    <x v="0"/>
    <x v="7"/>
    <x v="1"/>
    <s v="No"/>
    <s v="Y"/>
    <n v="3"/>
    <n v="-2"/>
    <n v="0"/>
    <x v="8"/>
    <x v="1"/>
    <m/>
    <n v="0"/>
    <n v="1"/>
    <n v="201"/>
    <n v="10"/>
    <x v="3"/>
    <n v="1"/>
    <n v="2"/>
    <n v="99"/>
    <n v="1"/>
    <n v="3"/>
    <n v="3"/>
    <n v="13206"/>
    <n v="3376"/>
    <n v="3"/>
    <n v="12"/>
    <n v="3"/>
    <n v="1"/>
    <n v="80"/>
    <n v="1"/>
    <n v="20"/>
    <n v="3"/>
    <n v="18"/>
    <n v="16"/>
    <n v="1"/>
    <n v="11"/>
  </r>
  <r>
    <s v="No"/>
    <s v="Travel_Rarely"/>
    <x v="0"/>
    <s v="Current Employees"/>
    <x v="1"/>
    <x v="2"/>
    <x v="1036"/>
    <x v="1036"/>
    <x v="0"/>
    <x v="1"/>
    <x v="1"/>
    <s v="No"/>
    <s v="Y"/>
    <n v="2"/>
    <n v="-2"/>
    <n v="0"/>
    <x v="2"/>
    <x v="1"/>
    <m/>
    <n v="0"/>
    <n v="1"/>
    <n v="1470"/>
    <n v="10"/>
    <x v="3"/>
    <n v="1"/>
    <n v="2"/>
    <n v="71"/>
    <n v="3"/>
    <n v="1"/>
    <n v="2"/>
    <n v="3936"/>
    <n v="9953"/>
    <n v="1"/>
    <n v="11"/>
    <n v="3"/>
    <n v="1"/>
    <n v="80"/>
    <n v="1"/>
    <n v="8"/>
    <n v="1"/>
    <n v="8"/>
    <n v="4"/>
    <n v="7"/>
    <n v="7"/>
  </r>
  <r>
    <s v="No"/>
    <s v="Travel_Rarely"/>
    <x v="2"/>
    <s v="Current Employees"/>
    <x v="1"/>
    <x v="1"/>
    <x v="1037"/>
    <x v="1037"/>
    <x v="0"/>
    <x v="4"/>
    <x v="1"/>
    <s v="No"/>
    <s v="Y"/>
    <n v="3"/>
    <n v="-2"/>
    <n v="0"/>
    <x v="11"/>
    <x v="1"/>
    <m/>
    <n v="0"/>
    <n v="1"/>
    <n v="441"/>
    <n v="8"/>
    <x v="1"/>
    <n v="1"/>
    <n v="3"/>
    <n v="39"/>
    <n v="1"/>
    <n v="2"/>
    <n v="3"/>
    <n v="9715"/>
    <n v="7288"/>
    <n v="3"/>
    <n v="13"/>
    <n v="3"/>
    <n v="3"/>
    <n v="80"/>
    <n v="1"/>
    <n v="9"/>
    <n v="3"/>
    <n v="7"/>
    <n v="7"/>
    <n v="0"/>
    <n v="7"/>
  </r>
  <r>
    <s v="No"/>
    <s v="Travel_Rarely"/>
    <x v="0"/>
    <s v="Current Employees"/>
    <x v="1"/>
    <x v="0"/>
    <x v="1038"/>
    <x v="1038"/>
    <x v="0"/>
    <x v="1"/>
    <x v="1"/>
    <s v="No"/>
    <s v="Y"/>
    <n v="5"/>
    <n v="-2"/>
    <n v="0"/>
    <x v="10"/>
    <x v="1"/>
    <m/>
    <n v="0"/>
    <n v="1"/>
    <n v="287"/>
    <n v="1"/>
    <x v="2"/>
    <n v="1"/>
    <n v="3"/>
    <n v="62"/>
    <n v="1"/>
    <n v="1"/>
    <n v="4"/>
    <n v="2977"/>
    <n v="8952"/>
    <n v="1"/>
    <n v="12"/>
    <n v="3"/>
    <n v="4"/>
    <n v="80"/>
    <n v="1"/>
    <n v="4"/>
    <n v="3"/>
    <n v="4"/>
    <n v="3"/>
    <n v="1"/>
    <n v="1"/>
  </r>
  <r>
    <s v="No"/>
    <s v="Travel_Rarely"/>
    <x v="0"/>
    <s v="Current Employees"/>
    <x v="1"/>
    <x v="0"/>
    <x v="1039"/>
    <x v="1039"/>
    <x v="0"/>
    <x v="2"/>
    <x v="1"/>
    <s v="No"/>
    <s v="Y"/>
    <n v="5"/>
    <n v="-2"/>
    <n v="0"/>
    <x v="32"/>
    <x v="1"/>
    <m/>
    <n v="0"/>
    <n v="1"/>
    <n v="616"/>
    <n v="2"/>
    <x v="0"/>
    <n v="1"/>
    <n v="3"/>
    <n v="99"/>
    <n v="3"/>
    <n v="1"/>
    <n v="3"/>
    <n v="3377"/>
    <n v="25605"/>
    <n v="4"/>
    <n v="17"/>
    <n v="3"/>
    <n v="4"/>
    <n v="80"/>
    <n v="1"/>
    <n v="7"/>
    <n v="2"/>
    <n v="4"/>
    <n v="3"/>
    <n v="0"/>
    <n v="2"/>
  </r>
  <r>
    <s v="No"/>
    <s v="Travel_Rarely"/>
    <x v="1"/>
    <s v="Current Employees"/>
    <x v="1"/>
    <x v="0"/>
    <x v="1040"/>
    <x v="1040"/>
    <x v="0"/>
    <x v="2"/>
    <x v="1"/>
    <s v="No"/>
    <s v="Y"/>
    <n v="3"/>
    <n v="-2"/>
    <n v="0"/>
    <x v="1"/>
    <x v="1"/>
    <m/>
    <n v="0"/>
    <n v="1"/>
    <n v="722"/>
    <n v="25"/>
    <x v="2"/>
    <n v="1"/>
    <n v="3"/>
    <n v="84"/>
    <n v="3"/>
    <n v="1"/>
    <n v="3"/>
    <n v="3211"/>
    <n v="22102"/>
    <n v="1"/>
    <n v="14"/>
    <n v="3"/>
    <n v="4"/>
    <n v="80"/>
    <n v="1"/>
    <n v="10"/>
    <n v="2"/>
    <n v="9"/>
    <n v="6"/>
    <n v="1"/>
    <n v="4"/>
  </r>
  <r>
    <s v="No"/>
    <s v="Travel_Rarely"/>
    <x v="1"/>
    <s v="Current Employees"/>
    <x v="1"/>
    <x v="1"/>
    <x v="1041"/>
    <x v="1041"/>
    <x v="0"/>
    <x v="1"/>
    <x v="1"/>
    <s v="No"/>
    <s v="Y"/>
    <n v="3"/>
    <n v="-2"/>
    <n v="0"/>
    <x v="26"/>
    <x v="1"/>
    <m/>
    <n v="0"/>
    <n v="1"/>
    <n v="1108"/>
    <n v="15"/>
    <x v="2"/>
    <n v="1"/>
    <n v="3"/>
    <n v="65"/>
    <n v="3"/>
    <n v="1"/>
    <n v="3"/>
    <n v="2367"/>
    <n v="16530"/>
    <n v="8"/>
    <n v="12"/>
    <n v="3"/>
    <n v="4"/>
    <n v="80"/>
    <n v="1"/>
    <n v="10"/>
    <n v="2"/>
    <n v="8"/>
    <n v="2"/>
    <n v="7"/>
    <n v="6"/>
  </r>
  <r>
    <s v="No"/>
    <s v="Travel_Rarely"/>
    <x v="2"/>
    <s v="Current Employees"/>
    <x v="1"/>
    <x v="0"/>
    <x v="1042"/>
    <x v="1042"/>
    <x v="0"/>
    <x v="2"/>
    <x v="1"/>
    <s v="No"/>
    <s v="Y"/>
    <n v="2"/>
    <n v="-2"/>
    <n v="0"/>
    <x v="13"/>
    <x v="1"/>
    <m/>
    <n v="0"/>
    <n v="1"/>
    <n v="401"/>
    <n v="1"/>
    <x v="3"/>
    <n v="1"/>
    <n v="4"/>
    <n v="86"/>
    <n v="2"/>
    <n v="1"/>
    <n v="2"/>
    <n v="3294"/>
    <n v="3708"/>
    <n v="5"/>
    <n v="17"/>
    <n v="3"/>
    <n v="1"/>
    <n v="80"/>
    <n v="1"/>
    <n v="7"/>
    <n v="2"/>
    <n v="5"/>
    <n v="4"/>
    <n v="0"/>
    <n v="2"/>
  </r>
  <r>
    <s v="No"/>
    <s v="Travel_Rarely"/>
    <x v="2"/>
    <s v="Current Employees"/>
    <x v="1"/>
    <x v="0"/>
    <x v="1043"/>
    <x v="1043"/>
    <x v="0"/>
    <x v="1"/>
    <x v="1"/>
    <s v="No"/>
    <s v="Y"/>
    <n v="2"/>
    <n v="-2"/>
    <n v="0"/>
    <x v="5"/>
    <x v="1"/>
    <m/>
    <n v="0"/>
    <n v="1"/>
    <n v="824"/>
    <n v="5"/>
    <x v="0"/>
    <n v="1"/>
    <n v="4"/>
    <n v="67"/>
    <n v="2"/>
    <n v="2"/>
    <n v="2"/>
    <n v="5878"/>
    <n v="15624"/>
    <n v="3"/>
    <n v="12"/>
    <n v="3"/>
    <n v="1"/>
    <n v="80"/>
    <n v="1"/>
    <n v="12"/>
    <n v="3"/>
    <n v="7"/>
    <n v="1"/>
    <n v="2"/>
    <n v="5"/>
  </r>
  <r>
    <s v="No"/>
    <s v="Travel_Rarely"/>
    <x v="0"/>
    <s v="Current Employees"/>
    <x v="1"/>
    <x v="1"/>
    <x v="1044"/>
    <x v="1044"/>
    <x v="0"/>
    <x v="2"/>
    <x v="1"/>
    <s v="No"/>
    <s v="Y"/>
    <n v="3"/>
    <n v="-2"/>
    <n v="0"/>
    <x v="8"/>
    <x v="1"/>
    <m/>
    <n v="0"/>
    <n v="1"/>
    <n v="1153"/>
    <n v="6"/>
    <x v="0"/>
    <n v="1"/>
    <n v="4"/>
    <n v="40"/>
    <n v="2"/>
    <n v="1"/>
    <n v="3"/>
    <n v="3702"/>
    <n v="16376"/>
    <n v="1"/>
    <n v="11"/>
    <n v="3"/>
    <n v="2"/>
    <n v="80"/>
    <n v="1"/>
    <n v="5"/>
    <n v="3"/>
    <n v="5"/>
    <n v="4"/>
    <n v="0"/>
    <n v="4"/>
  </r>
  <r>
    <s v="No"/>
    <s v="Travel_Rarely"/>
    <x v="0"/>
    <s v="Current Employees"/>
    <x v="1"/>
    <x v="2"/>
    <x v="1045"/>
    <x v="1045"/>
    <x v="0"/>
    <x v="2"/>
    <x v="1"/>
    <s v="No"/>
    <s v="Y"/>
    <n v="5"/>
    <n v="-2"/>
    <n v="0"/>
    <x v="8"/>
    <x v="1"/>
    <m/>
    <n v="0"/>
    <n v="1"/>
    <n v="1495"/>
    <n v="4"/>
    <x v="0"/>
    <n v="1"/>
    <n v="4"/>
    <n v="87"/>
    <n v="3"/>
    <n v="1"/>
    <n v="3"/>
    <n v="3306"/>
    <n v="26176"/>
    <n v="7"/>
    <n v="19"/>
    <n v="3"/>
    <n v="4"/>
    <n v="80"/>
    <n v="1"/>
    <n v="7"/>
    <n v="2"/>
    <n v="0"/>
    <n v="0"/>
    <n v="0"/>
    <n v="0"/>
  </r>
  <r>
    <s v="No"/>
    <s v="Travel_Rarely"/>
    <x v="2"/>
    <s v="Current Employees"/>
    <x v="1"/>
    <x v="2"/>
    <x v="1046"/>
    <x v="1046"/>
    <x v="0"/>
    <x v="2"/>
    <x v="1"/>
    <s v="No"/>
    <s v="Y"/>
    <n v="2"/>
    <n v="-2"/>
    <n v="0"/>
    <x v="11"/>
    <x v="1"/>
    <m/>
    <n v="0"/>
    <n v="1"/>
    <n v="1082"/>
    <n v="9"/>
    <x v="2"/>
    <n v="1"/>
    <n v="4"/>
    <n v="43"/>
    <n v="3"/>
    <n v="1"/>
    <n v="3"/>
    <n v="2974"/>
    <n v="25412"/>
    <n v="9"/>
    <n v="17"/>
    <n v="3"/>
    <n v="3"/>
    <n v="80"/>
    <n v="1"/>
    <n v="9"/>
    <n v="3"/>
    <n v="5"/>
    <n v="3"/>
    <n v="1"/>
    <n v="2"/>
  </r>
  <r>
    <s v="No"/>
    <s v="Travel_Rarely"/>
    <x v="1"/>
    <s v="Current Employees"/>
    <x v="1"/>
    <x v="2"/>
    <x v="1047"/>
    <x v="1047"/>
    <x v="0"/>
    <x v="1"/>
    <x v="1"/>
    <s v="No"/>
    <s v="Y"/>
    <n v="2"/>
    <n v="-2"/>
    <n v="0"/>
    <x v="33"/>
    <x v="1"/>
    <m/>
    <n v="0"/>
    <n v="1"/>
    <n v="431"/>
    <n v="7"/>
    <x v="2"/>
    <n v="1"/>
    <n v="4"/>
    <n v="68"/>
    <n v="3"/>
    <n v="2"/>
    <n v="4"/>
    <n v="6854"/>
    <n v="15696"/>
    <n v="4"/>
    <n v="15"/>
    <n v="3"/>
    <n v="2"/>
    <n v="80"/>
    <n v="1"/>
    <n v="14"/>
    <n v="2"/>
    <n v="7"/>
    <n v="1"/>
    <n v="1"/>
    <n v="7"/>
  </r>
  <r>
    <s v="No"/>
    <s v="Travel_Rarely"/>
    <x v="0"/>
    <s v="Current Employees"/>
    <x v="1"/>
    <x v="0"/>
    <x v="1048"/>
    <x v="1048"/>
    <x v="0"/>
    <x v="3"/>
    <x v="1"/>
    <s v="No"/>
    <s v="Y"/>
    <n v="2"/>
    <n v="-2"/>
    <n v="0"/>
    <x v="32"/>
    <x v="1"/>
    <m/>
    <n v="0"/>
    <n v="1"/>
    <n v="884"/>
    <n v="15"/>
    <x v="3"/>
    <n v="1"/>
    <n v="1"/>
    <n v="80"/>
    <n v="2"/>
    <n v="3"/>
    <n v="3"/>
    <n v="10435"/>
    <n v="25800"/>
    <n v="1"/>
    <n v="13"/>
    <n v="3"/>
    <n v="4"/>
    <n v="80"/>
    <n v="2"/>
    <n v="18"/>
    <n v="3"/>
    <n v="18"/>
    <n v="15"/>
    <n v="14"/>
    <n v="12"/>
  </r>
  <r>
    <s v="No"/>
    <s v="Travel_Rarely"/>
    <x v="1"/>
    <s v="Current Employees"/>
    <x v="1"/>
    <x v="1"/>
    <x v="1049"/>
    <x v="1049"/>
    <x v="0"/>
    <x v="7"/>
    <x v="1"/>
    <s v="No"/>
    <s v="Y"/>
    <n v="2"/>
    <n v="-2"/>
    <n v="0"/>
    <x v="1"/>
    <x v="1"/>
    <m/>
    <n v="0"/>
    <n v="1"/>
    <n v="301"/>
    <n v="22"/>
    <x v="2"/>
    <n v="1"/>
    <n v="1"/>
    <n v="72"/>
    <n v="3"/>
    <n v="4"/>
    <n v="2"/>
    <n v="16413"/>
    <n v="3498"/>
    <n v="3"/>
    <n v="16"/>
    <n v="3"/>
    <n v="2"/>
    <n v="80"/>
    <n v="2"/>
    <n v="27"/>
    <n v="3"/>
    <n v="4"/>
    <n v="2"/>
    <n v="1"/>
    <n v="2"/>
  </r>
  <r>
    <s v="No"/>
    <s v="Travel_Rarely"/>
    <x v="1"/>
    <s v="Current Employees"/>
    <x v="1"/>
    <x v="0"/>
    <x v="1050"/>
    <x v="1050"/>
    <x v="0"/>
    <x v="1"/>
    <x v="1"/>
    <s v="No"/>
    <s v="Y"/>
    <n v="6"/>
    <n v="-2"/>
    <n v="0"/>
    <x v="33"/>
    <x v="1"/>
    <m/>
    <n v="0"/>
    <n v="1"/>
    <n v="155"/>
    <n v="9"/>
    <x v="0"/>
    <n v="1"/>
    <n v="1"/>
    <n v="67"/>
    <n v="3"/>
    <n v="2"/>
    <n v="3"/>
    <n v="2897"/>
    <n v="22474"/>
    <n v="3"/>
    <n v="11"/>
    <n v="3"/>
    <n v="3"/>
    <n v="80"/>
    <n v="2"/>
    <n v="9"/>
    <n v="2"/>
    <n v="4"/>
    <n v="3"/>
    <n v="2"/>
    <n v="3"/>
  </r>
  <r>
    <s v="No"/>
    <s v="Travel_Rarely"/>
    <x v="1"/>
    <s v="Current Employees"/>
    <x v="1"/>
    <x v="2"/>
    <x v="1051"/>
    <x v="1051"/>
    <x v="0"/>
    <x v="7"/>
    <x v="1"/>
    <s v="No"/>
    <s v="Y"/>
    <n v="2"/>
    <n v="-2"/>
    <n v="0"/>
    <x v="40"/>
    <x v="1"/>
    <m/>
    <n v="0"/>
    <n v="1"/>
    <n v="359"/>
    <n v="2"/>
    <x v="2"/>
    <n v="1"/>
    <n v="1"/>
    <n v="82"/>
    <n v="3"/>
    <n v="4"/>
    <n v="3"/>
    <n v="17169"/>
    <n v="26703"/>
    <n v="3"/>
    <n v="19"/>
    <n v="3"/>
    <n v="2"/>
    <n v="80"/>
    <n v="2"/>
    <n v="26"/>
    <n v="4"/>
    <n v="20"/>
    <n v="17"/>
    <n v="5"/>
    <n v="6"/>
  </r>
  <r>
    <s v="No"/>
    <s v="Travel_Rarely"/>
    <x v="1"/>
    <s v="Current Employees"/>
    <x v="1"/>
    <x v="0"/>
    <x v="1052"/>
    <x v="1052"/>
    <x v="0"/>
    <x v="3"/>
    <x v="1"/>
    <s v="No"/>
    <s v="Y"/>
    <n v="2"/>
    <n v="-2"/>
    <n v="0"/>
    <x v="28"/>
    <x v="1"/>
    <m/>
    <n v="0"/>
    <n v="1"/>
    <n v="556"/>
    <n v="25"/>
    <x v="0"/>
    <n v="1"/>
    <n v="2"/>
    <n v="93"/>
    <n v="2"/>
    <n v="2"/>
    <n v="4"/>
    <n v="5906"/>
    <n v="23888"/>
    <n v="0"/>
    <n v="13"/>
    <n v="3"/>
    <n v="4"/>
    <n v="80"/>
    <n v="2"/>
    <n v="10"/>
    <n v="2"/>
    <n v="9"/>
    <n v="8"/>
    <n v="3"/>
    <n v="8"/>
  </r>
  <r>
    <s v="No"/>
    <s v="Travel_Rarely"/>
    <x v="0"/>
    <s v="Current Employees"/>
    <x v="1"/>
    <x v="0"/>
    <x v="1053"/>
    <x v="1053"/>
    <x v="0"/>
    <x v="4"/>
    <x v="1"/>
    <s v="No"/>
    <s v="Y"/>
    <n v="6"/>
    <n v="-2"/>
    <n v="0"/>
    <x v="9"/>
    <x v="1"/>
    <m/>
    <n v="0"/>
    <n v="1"/>
    <n v="711"/>
    <n v="5"/>
    <x v="2"/>
    <n v="1"/>
    <n v="2"/>
    <n v="42"/>
    <n v="3"/>
    <n v="3"/>
    <n v="3"/>
    <n v="8008"/>
    <n v="22792"/>
    <n v="4"/>
    <n v="12"/>
    <n v="3"/>
    <n v="3"/>
    <n v="80"/>
    <n v="2"/>
    <n v="9"/>
    <n v="3"/>
    <n v="3"/>
    <n v="2"/>
    <n v="0"/>
    <n v="2"/>
  </r>
  <r>
    <s v="No"/>
    <s v="Travel_Rarely"/>
    <x v="2"/>
    <s v="Current Employees"/>
    <x v="1"/>
    <x v="1"/>
    <x v="1054"/>
    <x v="1054"/>
    <x v="0"/>
    <x v="1"/>
    <x v="1"/>
    <s v="No"/>
    <s v="Y"/>
    <n v="3"/>
    <n v="-2"/>
    <n v="0"/>
    <x v="5"/>
    <x v="1"/>
    <m/>
    <n v="0"/>
    <n v="1"/>
    <n v="634"/>
    <n v="5"/>
    <x v="2"/>
    <n v="1"/>
    <n v="2"/>
    <n v="35"/>
    <n v="4"/>
    <n v="1"/>
    <n v="4"/>
    <n v="3312"/>
    <n v="18783"/>
    <n v="3"/>
    <n v="17"/>
    <n v="3"/>
    <n v="4"/>
    <n v="80"/>
    <n v="2"/>
    <n v="6"/>
    <n v="3"/>
    <n v="3"/>
    <n v="2"/>
    <n v="0"/>
    <n v="2"/>
  </r>
  <r>
    <s v="No"/>
    <s v="Travel_Rarely"/>
    <x v="0"/>
    <s v="Current Employees"/>
    <x v="1"/>
    <x v="2"/>
    <x v="1055"/>
    <x v="1055"/>
    <x v="0"/>
    <x v="1"/>
    <x v="1"/>
    <s v="No"/>
    <s v="Y"/>
    <n v="2"/>
    <n v="-2"/>
    <n v="0"/>
    <x v="32"/>
    <x v="1"/>
    <m/>
    <n v="0"/>
    <n v="1"/>
    <n v="1194"/>
    <n v="2"/>
    <x v="2"/>
    <n v="1"/>
    <n v="3"/>
    <n v="98"/>
    <n v="3"/>
    <n v="1"/>
    <n v="3"/>
    <n v="2001"/>
    <n v="12549"/>
    <n v="2"/>
    <n v="14"/>
    <n v="3"/>
    <n v="2"/>
    <n v="80"/>
    <n v="3"/>
    <n v="20"/>
    <n v="3"/>
    <n v="5"/>
    <n v="3"/>
    <n v="0"/>
    <n v="2"/>
  </r>
  <r>
    <s v="No"/>
    <s v="Travel_Rarely"/>
    <x v="2"/>
    <s v="Current Employees"/>
    <x v="1"/>
    <x v="0"/>
    <x v="1056"/>
    <x v="1056"/>
    <x v="0"/>
    <x v="7"/>
    <x v="0"/>
    <s v="No"/>
    <s v="Y"/>
    <n v="3"/>
    <n v="-2"/>
    <n v="0"/>
    <x v="12"/>
    <x v="1"/>
    <m/>
    <n v="0"/>
    <n v="1"/>
    <n v="182"/>
    <n v="8"/>
    <x v="4"/>
    <n v="1"/>
    <n v="1"/>
    <n v="93"/>
    <n v="3"/>
    <n v="4"/>
    <n v="2"/>
    <n v="16422"/>
    <n v="8847"/>
    <n v="3"/>
    <n v="11"/>
    <n v="3"/>
    <n v="3"/>
    <n v="80"/>
    <n v="0"/>
    <n v="9"/>
    <n v="4"/>
    <n v="3"/>
    <n v="2"/>
    <n v="1"/>
    <n v="0"/>
  </r>
  <r>
    <s v="No"/>
    <s v="Travel_Rarely"/>
    <x v="0"/>
    <s v="Current Employees"/>
    <x v="1"/>
    <x v="2"/>
    <x v="1057"/>
    <x v="1057"/>
    <x v="0"/>
    <x v="2"/>
    <x v="0"/>
    <s v="No"/>
    <s v="Y"/>
    <n v="6"/>
    <n v="-2"/>
    <n v="0"/>
    <x v="2"/>
    <x v="1"/>
    <m/>
    <n v="0"/>
    <n v="1"/>
    <n v="1462"/>
    <n v="11"/>
    <x v="3"/>
    <n v="1"/>
    <n v="1"/>
    <n v="94"/>
    <n v="3"/>
    <n v="1"/>
    <n v="3"/>
    <n v="3629"/>
    <n v="19106"/>
    <n v="4"/>
    <n v="18"/>
    <n v="3"/>
    <n v="1"/>
    <n v="80"/>
    <n v="0"/>
    <n v="8"/>
    <n v="3"/>
    <n v="3"/>
    <n v="2"/>
    <n v="0"/>
    <n v="2"/>
  </r>
  <r>
    <s v="No"/>
    <s v="Travel_Rarely"/>
    <x v="2"/>
    <s v="Current Employees"/>
    <x v="1"/>
    <x v="2"/>
    <x v="1058"/>
    <x v="1058"/>
    <x v="0"/>
    <x v="3"/>
    <x v="0"/>
    <s v="No"/>
    <s v="Y"/>
    <n v="3"/>
    <n v="-2"/>
    <n v="0"/>
    <x v="7"/>
    <x v="1"/>
    <m/>
    <n v="0"/>
    <n v="1"/>
    <n v="1092"/>
    <n v="10"/>
    <x v="3"/>
    <n v="1"/>
    <n v="1"/>
    <n v="64"/>
    <n v="3"/>
    <n v="3"/>
    <n v="3"/>
    <n v="9667"/>
    <n v="2739"/>
    <n v="9"/>
    <n v="14"/>
    <n v="3"/>
    <n v="2"/>
    <n v="80"/>
    <n v="0"/>
    <n v="9"/>
    <n v="3"/>
    <n v="7"/>
    <n v="7"/>
    <n v="0"/>
    <n v="2"/>
  </r>
  <r>
    <s v="No"/>
    <s v="Travel_Rarely"/>
    <x v="0"/>
    <s v="Current Employees"/>
    <x v="1"/>
    <x v="0"/>
    <x v="1059"/>
    <x v="1059"/>
    <x v="0"/>
    <x v="3"/>
    <x v="0"/>
    <s v="No"/>
    <s v="Y"/>
    <n v="3"/>
    <n v="-2"/>
    <n v="0"/>
    <x v="22"/>
    <x v="1"/>
    <m/>
    <n v="0"/>
    <n v="1"/>
    <n v="1089"/>
    <n v="6"/>
    <x v="3"/>
    <n v="1"/>
    <n v="2"/>
    <n v="32"/>
    <n v="3"/>
    <n v="3"/>
    <n v="2"/>
    <n v="8376"/>
    <n v="9150"/>
    <n v="4"/>
    <n v="18"/>
    <n v="3"/>
    <n v="4"/>
    <n v="80"/>
    <n v="0"/>
    <n v="9"/>
    <n v="3"/>
    <n v="2"/>
    <n v="0"/>
    <n v="2"/>
    <n v="2"/>
  </r>
  <r>
    <s v="No"/>
    <s v="Travel_Rarely"/>
    <x v="1"/>
    <s v="Current Employees"/>
    <x v="1"/>
    <x v="0"/>
    <x v="1060"/>
    <x v="1060"/>
    <x v="0"/>
    <x v="2"/>
    <x v="0"/>
    <s v="No"/>
    <s v="Y"/>
    <n v="2"/>
    <n v="-2"/>
    <n v="0"/>
    <x v="40"/>
    <x v="1"/>
    <m/>
    <n v="0"/>
    <n v="1"/>
    <n v="207"/>
    <n v="9"/>
    <x v="2"/>
    <n v="1"/>
    <n v="2"/>
    <n v="64"/>
    <n v="3"/>
    <n v="1"/>
    <n v="3"/>
    <n v="2105"/>
    <n v="5411"/>
    <n v="4"/>
    <n v="12"/>
    <n v="3"/>
    <n v="3"/>
    <n v="80"/>
    <n v="0"/>
    <n v="7"/>
    <n v="3"/>
    <n v="2"/>
    <n v="2"/>
    <n v="2"/>
    <n v="0"/>
  </r>
  <r>
    <s v="No"/>
    <s v="Travel_Rarely"/>
    <x v="2"/>
    <s v="Current Employees"/>
    <x v="1"/>
    <x v="0"/>
    <x v="1061"/>
    <x v="1061"/>
    <x v="0"/>
    <x v="2"/>
    <x v="0"/>
    <s v="No"/>
    <s v="Y"/>
    <n v="3"/>
    <n v="-2"/>
    <n v="0"/>
    <x v="5"/>
    <x v="1"/>
    <m/>
    <n v="0"/>
    <n v="1"/>
    <n v="267"/>
    <n v="29"/>
    <x v="2"/>
    <n v="1"/>
    <n v="3"/>
    <n v="49"/>
    <n v="2"/>
    <n v="1"/>
    <n v="2"/>
    <n v="2837"/>
    <n v="15919"/>
    <n v="1"/>
    <n v="13"/>
    <n v="3"/>
    <n v="3"/>
    <n v="80"/>
    <n v="0"/>
    <n v="6"/>
    <n v="3"/>
    <n v="6"/>
    <n v="2"/>
    <n v="4"/>
    <n v="1"/>
  </r>
  <r>
    <s v="No"/>
    <s v="Travel_Rarely"/>
    <x v="4"/>
    <s v="Current Employees"/>
    <x v="1"/>
    <x v="2"/>
    <x v="1062"/>
    <x v="1062"/>
    <x v="0"/>
    <x v="2"/>
    <x v="0"/>
    <s v="No"/>
    <s v="Y"/>
    <n v="3"/>
    <n v="-2"/>
    <n v="0"/>
    <x v="30"/>
    <x v="1"/>
    <m/>
    <n v="0"/>
    <n v="1"/>
    <n v="160"/>
    <n v="4"/>
    <x v="1"/>
    <n v="1"/>
    <n v="3"/>
    <n v="51"/>
    <n v="3"/>
    <n v="1"/>
    <n v="2"/>
    <n v="3295"/>
    <n v="12862"/>
    <n v="1"/>
    <n v="13"/>
    <n v="3"/>
    <n v="3"/>
    <n v="80"/>
    <n v="0"/>
    <n v="3"/>
    <n v="1"/>
    <n v="3"/>
    <n v="2"/>
    <n v="1"/>
    <n v="2"/>
  </r>
  <r>
    <s v="No"/>
    <s v="Travel_Rarely"/>
    <x v="2"/>
    <s v="Current Employees"/>
    <x v="1"/>
    <x v="2"/>
    <x v="1063"/>
    <x v="1063"/>
    <x v="0"/>
    <x v="1"/>
    <x v="0"/>
    <s v="No"/>
    <s v="Y"/>
    <n v="5"/>
    <n v="-2"/>
    <n v="0"/>
    <x v="4"/>
    <x v="1"/>
    <m/>
    <n v="0"/>
    <n v="1"/>
    <n v="1054"/>
    <n v="8"/>
    <x v="3"/>
    <n v="1"/>
    <n v="3"/>
    <n v="67"/>
    <n v="3"/>
    <n v="1"/>
    <n v="4"/>
    <n v="3445"/>
    <n v="6152"/>
    <n v="1"/>
    <n v="11"/>
    <n v="3"/>
    <n v="3"/>
    <n v="80"/>
    <n v="0"/>
    <n v="6"/>
    <n v="2"/>
    <n v="6"/>
    <n v="2"/>
    <n v="1"/>
    <n v="4"/>
  </r>
  <r>
    <s v="No"/>
    <s v="Travel_Rarely"/>
    <x v="2"/>
    <s v="Current Employees"/>
    <x v="1"/>
    <x v="2"/>
    <x v="1064"/>
    <x v="1064"/>
    <x v="0"/>
    <x v="1"/>
    <x v="0"/>
    <s v="No"/>
    <s v="Y"/>
    <n v="3"/>
    <n v="-2"/>
    <n v="0"/>
    <x v="11"/>
    <x v="1"/>
    <m/>
    <n v="0"/>
    <n v="1"/>
    <n v="468"/>
    <n v="28"/>
    <x v="2"/>
    <n v="1"/>
    <n v="4"/>
    <n v="73"/>
    <n v="2"/>
    <n v="1"/>
    <n v="3"/>
    <n v="3785"/>
    <n v="8489"/>
    <n v="1"/>
    <n v="14"/>
    <n v="3"/>
    <n v="2"/>
    <n v="80"/>
    <n v="0"/>
    <n v="5"/>
    <n v="1"/>
    <n v="5"/>
    <n v="4"/>
    <n v="0"/>
    <n v="4"/>
  </r>
  <r>
    <s v="No"/>
    <s v="Travel_Rarely"/>
    <x v="0"/>
    <s v="Current Employees"/>
    <x v="1"/>
    <x v="0"/>
    <x v="1065"/>
    <x v="1065"/>
    <x v="0"/>
    <x v="4"/>
    <x v="0"/>
    <s v="No"/>
    <s v="Y"/>
    <n v="3"/>
    <n v="-2"/>
    <n v="0"/>
    <x v="10"/>
    <x v="1"/>
    <m/>
    <n v="0"/>
    <n v="1"/>
    <n v="1029"/>
    <n v="16"/>
    <x v="3"/>
    <n v="1"/>
    <n v="4"/>
    <n v="91"/>
    <n v="2"/>
    <n v="3"/>
    <n v="2"/>
    <n v="8606"/>
    <n v="21195"/>
    <n v="1"/>
    <n v="19"/>
    <n v="3"/>
    <n v="4"/>
    <n v="80"/>
    <n v="0"/>
    <n v="11"/>
    <n v="1"/>
    <n v="11"/>
    <n v="8"/>
    <n v="3"/>
    <n v="3"/>
  </r>
  <r>
    <s v="No"/>
    <s v="Travel_Rarely"/>
    <x v="1"/>
    <s v="Current Employees"/>
    <x v="1"/>
    <x v="4"/>
    <x v="1066"/>
    <x v="1066"/>
    <x v="0"/>
    <x v="7"/>
    <x v="0"/>
    <s v="No"/>
    <s v="Y"/>
    <n v="2"/>
    <n v="-2"/>
    <n v="0"/>
    <x v="28"/>
    <x v="1"/>
    <m/>
    <n v="0"/>
    <n v="1"/>
    <n v="1005"/>
    <n v="28"/>
    <x v="0"/>
    <n v="1"/>
    <n v="4"/>
    <n v="48"/>
    <n v="2"/>
    <n v="4"/>
    <n v="4"/>
    <n v="16704"/>
    <n v="17119"/>
    <n v="1"/>
    <n v="11"/>
    <n v="3"/>
    <n v="3"/>
    <n v="80"/>
    <n v="0"/>
    <n v="21"/>
    <n v="3"/>
    <n v="21"/>
    <n v="6"/>
    <n v="8"/>
    <n v="6"/>
  </r>
  <r>
    <s v="No"/>
    <s v="Travel_Rarely"/>
    <x v="1"/>
    <s v="Current Employees"/>
    <x v="1"/>
    <x v="2"/>
    <x v="1067"/>
    <x v="1067"/>
    <x v="0"/>
    <x v="7"/>
    <x v="0"/>
    <s v="No"/>
    <s v="Y"/>
    <n v="3"/>
    <n v="-2"/>
    <n v="0"/>
    <x v="33"/>
    <x v="1"/>
    <m/>
    <n v="0"/>
    <n v="1"/>
    <n v="971"/>
    <n v="1"/>
    <x v="3"/>
    <n v="1"/>
    <n v="4"/>
    <n v="54"/>
    <n v="3"/>
    <n v="4"/>
    <n v="4"/>
    <n v="17328"/>
    <n v="5652"/>
    <n v="6"/>
    <n v="19"/>
    <n v="3"/>
    <n v="4"/>
    <n v="80"/>
    <n v="0"/>
    <n v="29"/>
    <n v="2"/>
    <n v="20"/>
    <n v="7"/>
    <n v="12"/>
    <n v="7"/>
  </r>
  <r>
    <s v="No"/>
    <s v="Travel_Rarely"/>
    <x v="1"/>
    <s v="Current Employees"/>
    <x v="0"/>
    <x v="4"/>
    <x v="1068"/>
    <x v="1068"/>
    <x v="0"/>
    <x v="0"/>
    <x v="2"/>
    <s v="No"/>
    <s v="Y"/>
    <n v="5"/>
    <n v="-2"/>
    <n v="0"/>
    <x v="21"/>
    <x v="1"/>
    <m/>
    <n v="0"/>
    <n v="1"/>
    <n v="1319"/>
    <n v="3"/>
    <x v="3"/>
    <n v="1"/>
    <n v="4"/>
    <n v="45"/>
    <n v="4"/>
    <n v="4"/>
    <n v="4"/>
    <n v="13225"/>
    <n v="7739"/>
    <n v="2"/>
    <n v="12"/>
    <n v="3"/>
    <n v="4"/>
    <n v="80"/>
    <n v="1"/>
    <n v="25"/>
    <n v="3"/>
    <n v="19"/>
    <n v="17"/>
    <n v="2"/>
    <n v="8"/>
  </r>
  <r>
    <s v="No"/>
    <s v="Travel_Rarely"/>
    <x v="1"/>
    <s v="Current Employees"/>
    <x v="0"/>
    <x v="0"/>
    <x v="1069"/>
    <x v="1069"/>
    <x v="0"/>
    <x v="0"/>
    <x v="2"/>
    <s v="No"/>
    <s v="Y"/>
    <n v="2"/>
    <n v="-2"/>
    <n v="0"/>
    <x v="26"/>
    <x v="1"/>
    <m/>
    <n v="0"/>
    <n v="1"/>
    <n v="492"/>
    <n v="16"/>
    <x v="2"/>
    <n v="1"/>
    <n v="3"/>
    <n v="96"/>
    <n v="3"/>
    <n v="2"/>
    <n v="3"/>
    <n v="6439"/>
    <n v="13693"/>
    <n v="8"/>
    <n v="14"/>
    <n v="3"/>
    <n v="3"/>
    <n v="80"/>
    <n v="1"/>
    <n v="18"/>
    <n v="3"/>
    <n v="8"/>
    <n v="7"/>
    <n v="7"/>
    <n v="7"/>
  </r>
  <r>
    <s v="No"/>
    <s v="Travel_Rarely"/>
    <x v="2"/>
    <s v="Current Employees"/>
    <x v="0"/>
    <x v="3"/>
    <x v="1070"/>
    <x v="1070"/>
    <x v="0"/>
    <x v="0"/>
    <x v="2"/>
    <s v="No"/>
    <s v="Y"/>
    <n v="3"/>
    <n v="-2"/>
    <n v="0"/>
    <x v="7"/>
    <x v="1"/>
    <m/>
    <n v="0"/>
    <n v="1"/>
    <n v="855"/>
    <n v="7"/>
    <x v="2"/>
    <n v="1"/>
    <n v="4"/>
    <n v="73"/>
    <n v="3"/>
    <n v="2"/>
    <n v="2"/>
    <n v="4779"/>
    <n v="12761"/>
    <n v="7"/>
    <n v="14"/>
    <n v="3"/>
    <n v="2"/>
    <n v="80"/>
    <n v="2"/>
    <n v="8"/>
    <n v="3"/>
    <n v="3"/>
    <n v="2"/>
    <n v="0"/>
    <n v="2"/>
  </r>
  <r>
    <s v="No"/>
    <s v="Travel_Rarely"/>
    <x v="1"/>
    <s v="Current Employees"/>
    <x v="0"/>
    <x v="0"/>
    <x v="1071"/>
    <x v="1071"/>
    <x v="0"/>
    <x v="5"/>
    <x v="2"/>
    <s v="No"/>
    <s v="Y"/>
    <n v="2"/>
    <n v="-2"/>
    <n v="0"/>
    <x v="40"/>
    <x v="1"/>
    <m/>
    <n v="0"/>
    <n v="1"/>
    <n v="1225"/>
    <n v="2"/>
    <x v="2"/>
    <n v="1"/>
    <n v="2"/>
    <n v="47"/>
    <n v="4"/>
    <n v="4"/>
    <n v="2"/>
    <n v="15972"/>
    <n v="21086"/>
    <n v="6"/>
    <n v="14"/>
    <n v="3"/>
    <n v="3"/>
    <n v="80"/>
    <n v="3"/>
    <n v="29"/>
    <n v="3"/>
    <n v="3"/>
    <n v="2"/>
    <n v="1"/>
    <n v="2"/>
  </r>
  <r>
    <s v="No"/>
    <s v="Travel_Rarely"/>
    <x v="0"/>
    <s v="Current Employees"/>
    <x v="0"/>
    <x v="0"/>
    <x v="1072"/>
    <x v="1072"/>
    <x v="0"/>
    <x v="0"/>
    <x v="1"/>
    <s v="No"/>
    <s v="Y"/>
    <n v="1"/>
    <n v="-2"/>
    <n v="0"/>
    <x v="8"/>
    <x v="1"/>
    <m/>
    <n v="0"/>
    <n v="1"/>
    <n v="345"/>
    <n v="10"/>
    <x v="0"/>
    <n v="1"/>
    <n v="1"/>
    <n v="100"/>
    <n v="3"/>
    <n v="2"/>
    <n v="4"/>
    <n v="5343"/>
    <n v="5982"/>
    <n v="1"/>
    <n v="11"/>
    <n v="3"/>
    <n v="3"/>
    <n v="80"/>
    <n v="1"/>
    <n v="10"/>
    <n v="3"/>
    <n v="10"/>
    <n v="7"/>
    <n v="1"/>
    <n v="9"/>
  </r>
  <r>
    <s v="No"/>
    <s v="Travel_Rarely"/>
    <x v="0"/>
    <s v="Current Employees"/>
    <x v="0"/>
    <x v="3"/>
    <x v="1073"/>
    <x v="1073"/>
    <x v="0"/>
    <x v="0"/>
    <x v="1"/>
    <s v="No"/>
    <s v="Y"/>
    <n v="2"/>
    <n v="-2"/>
    <n v="0"/>
    <x v="9"/>
    <x v="1"/>
    <m/>
    <n v="0"/>
    <n v="1"/>
    <n v="1120"/>
    <n v="11"/>
    <x v="2"/>
    <n v="1"/>
    <n v="2"/>
    <n v="100"/>
    <n v="2"/>
    <n v="2"/>
    <n v="2"/>
    <n v="6652"/>
    <n v="14369"/>
    <n v="4"/>
    <n v="13"/>
    <n v="3"/>
    <n v="1"/>
    <n v="80"/>
    <n v="1"/>
    <n v="8"/>
    <n v="2"/>
    <n v="6"/>
    <n v="3"/>
    <n v="0"/>
    <n v="0"/>
  </r>
  <r>
    <s v="No"/>
    <s v="Travel_Rarely"/>
    <x v="0"/>
    <s v="Current Employees"/>
    <x v="0"/>
    <x v="3"/>
    <x v="1074"/>
    <x v="1074"/>
    <x v="0"/>
    <x v="0"/>
    <x v="1"/>
    <s v="No"/>
    <s v="Y"/>
    <n v="2"/>
    <n v="-2"/>
    <n v="0"/>
    <x v="22"/>
    <x v="1"/>
    <m/>
    <n v="0"/>
    <n v="1"/>
    <n v="722"/>
    <n v="24"/>
    <x v="1"/>
    <n v="1"/>
    <n v="2"/>
    <n v="60"/>
    <n v="2"/>
    <n v="4"/>
    <n v="2"/>
    <n v="12031"/>
    <n v="8828"/>
    <n v="0"/>
    <n v="11"/>
    <n v="3"/>
    <n v="1"/>
    <n v="80"/>
    <n v="1"/>
    <n v="21"/>
    <n v="2"/>
    <n v="20"/>
    <n v="9"/>
    <n v="9"/>
    <n v="6"/>
  </r>
  <r>
    <s v="No"/>
    <s v="Travel_Rarely"/>
    <x v="0"/>
    <s v="Current Employees"/>
    <x v="0"/>
    <x v="3"/>
    <x v="1075"/>
    <x v="1075"/>
    <x v="0"/>
    <x v="0"/>
    <x v="1"/>
    <s v="No"/>
    <s v="Y"/>
    <n v="4"/>
    <n v="-2"/>
    <n v="0"/>
    <x v="32"/>
    <x v="1"/>
    <m/>
    <n v="0"/>
    <n v="1"/>
    <n v="444"/>
    <n v="2"/>
    <x v="0"/>
    <n v="1"/>
    <n v="2"/>
    <n v="92"/>
    <n v="3"/>
    <n v="2"/>
    <n v="2"/>
    <n v="5677"/>
    <n v="4258"/>
    <n v="3"/>
    <n v="14"/>
    <n v="3"/>
    <n v="3"/>
    <n v="80"/>
    <n v="1"/>
    <n v="15"/>
    <n v="3"/>
    <n v="11"/>
    <n v="8"/>
    <n v="5"/>
    <n v="10"/>
  </r>
  <r>
    <s v="No"/>
    <s v="Travel_Rarely"/>
    <x v="2"/>
    <s v="Current Employees"/>
    <x v="0"/>
    <x v="2"/>
    <x v="1076"/>
    <x v="1076"/>
    <x v="0"/>
    <x v="6"/>
    <x v="1"/>
    <s v="No"/>
    <s v="Y"/>
    <n v="3"/>
    <n v="-2"/>
    <n v="0"/>
    <x v="14"/>
    <x v="1"/>
    <m/>
    <n v="0"/>
    <n v="1"/>
    <n v="1172"/>
    <n v="3"/>
    <x v="3"/>
    <n v="1"/>
    <n v="2"/>
    <n v="78"/>
    <n v="3"/>
    <n v="1"/>
    <n v="2"/>
    <n v="2856"/>
    <n v="3692"/>
    <n v="1"/>
    <n v="19"/>
    <n v="3"/>
    <n v="4"/>
    <n v="80"/>
    <n v="1"/>
    <n v="1"/>
    <n v="3"/>
    <n v="1"/>
    <n v="0"/>
    <n v="0"/>
    <n v="0"/>
  </r>
  <r>
    <s v="No"/>
    <s v="Travel_Rarely"/>
    <x v="1"/>
    <s v="Current Employees"/>
    <x v="0"/>
    <x v="0"/>
    <x v="1077"/>
    <x v="1077"/>
    <x v="0"/>
    <x v="5"/>
    <x v="1"/>
    <s v="No"/>
    <s v="Y"/>
    <n v="2"/>
    <n v="-2"/>
    <n v="0"/>
    <x v="21"/>
    <x v="1"/>
    <m/>
    <n v="0"/>
    <n v="1"/>
    <n v="228"/>
    <n v="3"/>
    <x v="3"/>
    <n v="1"/>
    <n v="3"/>
    <n v="51"/>
    <n v="3"/>
    <n v="4"/>
    <n v="2"/>
    <n v="16606"/>
    <n v="11380"/>
    <n v="8"/>
    <n v="12"/>
    <n v="3"/>
    <n v="4"/>
    <n v="80"/>
    <n v="1"/>
    <n v="23"/>
    <n v="4"/>
    <n v="13"/>
    <n v="12"/>
    <n v="5"/>
    <n v="1"/>
  </r>
  <r>
    <s v="No"/>
    <s v="Travel_Rarely"/>
    <x v="3"/>
    <s v="Current Employees"/>
    <x v="0"/>
    <x v="3"/>
    <x v="1078"/>
    <x v="1078"/>
    <x v="0"/>
    <x v="0"/>
    <x v="1"/>
    <s v="No"/>
    <s v="Y"/>
    <n v="3"/>
    <n v="-2"/>
    <n v="0"/>
    <x v="29"/>
    <x v="1"/>
    <m/>
    <n v="0"/>
    <n v="1"/>
    <n v="1443"/>
    <n v="11"/>
    <x v="4"/>
    <n v="1"/>
    <n v="4"/>
    <n v="89"/>
    <n v="2"/>
    <n v="2"/>
    <n v="2"/>
    <n v="5380"/>
    <n v="20328"/>
    <n v="4"/>
    <n v="16"/>
    <n v="3"/>
    <n v="3"/>
    <n v="80"/>
    <n v="1"/>
    <n v="6"/>
    <n v="3"/>
    <n v="0"/>
    <n v="0"/>
    <n v="0"/>
    <n v="0"/>
  </r>
  <r>
    <s v="No"/>
    <s v="Travel_Rarely"/>
    <x v="0"/>
    <s v="Current Employees"/>
    <x v="0"/>
    <x v="0"/>
    <x v="1079"/>
    <x v="1079"/>
    <x v="0"/>
    <x v="0"/>
    <x v="1"/>
    <s v="No"/>
    <s v="Y"/>
    <n v="2"/>
    <n v="-2"/>
    <n v="0"/>
    <x v="32"/>
    <x v="1"/>
    <m/>
    <n v="0"/>
    <n v="1"/>
    <n v="118"/>
    <n v="14"/>
    <x v="0"/>
    <n v="1"/>
    <n v="4"/>
    <n v="84"/>
    <n v="3"/>
    <n v="2"/>
    <n v="3"/>
    <n v="4639"/>
    <n v="11262"/>
    <n v="1"/>
    <n v="15"/>
    <n v="3"/>
    <n v="3"/>
    <n v="80"/>
    <n v="1"/>
    <n v="5"/>
    <n v="3"/>
    <n v="5"/>
    <n v="4"/>
    <n v="1"/>
    <n v="2"/>
  </r>
  <r>
    <s v="No"/>
    <s v="Travel_Rarely"/>
    <x v="2"/>
    <s v="Current Employees"/>
    <x v="0"/>
    <x v="3"/>
    <x v="1080"/>
    <x v="1080"/>
    <x v="0"/>
    <x v="0"/>
    <x v="1"/>
    <s v="No"/>
    <s v="Y"/>
    <n v="3"/>
    <n v="-2"/>
    <n v="0"/>
    <x v="12"/>
    <x v="1"/>
    <m/>
    <n v="0"/>
    <n v="1"/>
    <n v="196"/>
    <n v="29"/>
    <x v="2"/>
    <n v="1"/>
    <n v="1"/>
    <n v="91"/>
    <n v="2"/>
    <n v="2"/>
    <n v="2"/>
    <n v="5468"/>
    <n v="13402"/>
    <n v="1"/>
    <n v="14"/>
    <n v="3"/>
    <n v="1"/>
    <n v="80"/>
    <n v="2"/>
    <n v="13"/>
    <n v="3"/>
    <n v="12"/>
    <n v="7"/>
    <n v="5"/>
    <n v="7"/>
  </r>
  <r>
    <s v="No"/>
    <s v="Travel_Rarely"/>
    <x v="0"/>
    <s v="Current Employees"/>
    <x v="0"/>
    <x v="2"/>
    <x v="1081"/>
    <x v="1081"/>
    <x v="0"/>
    <x v="0"/>
    <x v="1"/>
    <s v="No"/>
    <s v="Y"/>
    <n v="2"/>
    <n v="-2"/>
    <n v="0"/>
    <x v="9"/>
    <x v="1"/>
    <m/>
    <n v="0"/>
    <n v="1"/>
    <n v="557"/>
    <n v="3"/>
    <x v="3"/>
    <n v="1"/>
    <n v="1"/>
    <n v="94"/>
    <n v="2"/>
    <n v="3"/>
    <n v="4"/>
    <n v="7644"/>
    <n v="12695"/>
    <n v="0"/>
    <n v="19"/>
    <n v="3"/>
    <n v="3"/>
    <n v="80"/>
    <n v="2"/>
    <n v="10"/>
    <n v="3"/>
    <n v="9"/>
    <n v="7"/>
    <n v="3"/>
    <n v="4"/>
  </r>
  <r>
    <s v="No"/>
    <s v="Travel_Rarely"/>
    <x v="2"/>
    <s v="Current Employees"/>
    <x v="0"/>
    <x v="0"/>
    <x v="1082"/>
    <x v="1082"/>
    <x v="0"/>
    <x v="0"/>
    <x v="1"/>
    <s v="No"/>
    <s v="Y"/>
    <n v="2"/>
    <n v="-2"/>
    <n v="0"/>
    <x v="12"/>
    <x v="1"/>
    <m/>
    <n v="0"/>
    <n v="1"/>
    <n v="1112"/>
    <n v="5"/>
    <x v="2"/>
    <n v="1"/>
    <n v="1"/>
    <n v="67"/>
    <n v="3"/>
    <n v="2"/>
    <n v="4"/>
    <n v="5476"/>
    <n v="22589"/>
    <n v="1"/>
    <n v="11"/>
    <n v="3"/>
    <n v="1"/>
    <n v="80"/>
    <n v="2"/>
    <n v="10"/>
    <n v="3"/>
    <n v="10"/>
    <n v="0"/>
    <n v="0"/>
    <n v="2"/>
  </r>
  <r>
    <s v="No"/>
    <s v="Travel_Rarely"/>
    <x v="0"/>
    <s v="Current Employees"/>
    <x v="0"/>
    <x v="3"/>
    <x v="1083"/>
    <x v="1083"/>
    <x v="0"/>
    <x v="0"/>
    <x v="1"/>
    <s v="No"/>
    <s v="Y"/>
    <n v="3"/>
    <n v="-2"/>
    <n v="0"/>
    <x v="9"/>
    <x v="1"/>
    <m/>
    <n v="0"/>
    <n v="1"/>
    <n v="329"/>
    <n v="16"/>
    <x v="2"/>
    <n v="1"/>
    <n v="3"/>
    <n v="98"/>
    <n v="2"/>
    <n v="2"/>
    <n v="2"/>
    <n v="5647"/>
    <n v="13494"/>
    <n v="4"/>
    <n v="13"/>
    <n v="3"/>
    <n v="1"/>
    <n v="80"/>
    <n v="2"/>
    <n v="11"/>
    <n v="2"/>
    <n v="3"/>
    <n v="2"/>
    <n v="0"/>
    <n v="2"/>
  </r>
  <r>
    <s v="No"/>
    <s v="Travel_Rarely"/>
    <x v="2"/>
    <s v="Current Employees"/>
    <x v="0"/>
    <x v="3"/>
    <x v="1084"/>
    <x v="1084"/>
    <x v="0"/>
    <x v="0"/>
    <x v="1"/>
    <s v="No"/>
    <s v="Y"/>
    <n v="3"/>
    <n v="-2"/>
    <n v="0"/>
    <x v="5"/>
    <x v="1"/>
    <m/>
    <n v="0"/>
    <n v="1"/>
    <n v="801"/>
    <n v="1"/>
    <x v="2"/>
    <n v="1"/>
    <n v="3"/>
    <n v="48"/>
    <n v="3"/>
    <n v="3"/>
    <n v="2"/>
    <n v="10422"/>
    <n v="24032"/>
    <n v="1"/>
    <n v="19"/>
    <n v="3"/>
    <n v="3"/>
    <n v="80"/>
    <n v="2"/>
    <n v="14"/>
    <n v="3"/>
    <n v="14"/>
    <n v="10"/>
    <n v="5"/>
    <n v="7"/>
  </r>
  <r>
    <s v="No"/>
    <s v="Travel_Rarely"/>
    <x v="2"/>
    <s v="Current Employees"/>
    <x v="0"/>
    <x v="2"/>
    <x v="1085"/>
    <x v="1085"/>
    <x v="0"/>
    <x v="0"/>
    <x v="0"/>
    <s v="No"/>
    <s v="Y"/>
    <n v="5"/>
    <n v="-2"/>
    <n v="0"/>
    <x v="4"/>
    <x v="1"/>
    <m/>
    <n v="0"/>
    <n v="1"/>
    <n v="511"/>
    <n v="2"/>
    <x v="0"/>
    <n v="1"/>
    <n v="1"/>
    <n v="89"/>
    <n v="4"/>
    <n v="2"/>
    <n v="3"/>
    <n v="6500"/>
    <n v="26997"/>
    <n v="0"/>
    <n v="14"/>
    <n v="3"/>
    <n v="2"/>
    <n v="80"/>
    <n v="0"/>
    <n v="9"/>
    <n v="2"/>
    <n v="8"/>
    <n v="7"/>
    <n v="0"/>
    <n v="7"/>
  </r>
  <r>
    <s v="No"/>
    <s v="Travel_Rarely"/>
    <x v="0"/>
    <s v="Current Employees"/>
    <x v="0"/>
    <x v="0"/>
    <x v="1086"/>
    <x v="1086"/>
    <x v="0"/>
    <x v="0"/>
    <x v="0"/>
    <s v="No"/>
    <s v="Y"/>
    <n v="5"/>
    <n v="-2"/>
    <n v="0"/>
    <x v="8"/>
    <x v="1"/>
    <m/>
    <n v="0"/>
    <n v="1"/>
    <n v="437"/>
    <n v="16"/>
    <x v="3"/>
    <n v="1"/>
    <n v="2"/>
    <n v="90"/>
    <n v="3"/>
    <n v="2"/>
    <n v="2"/>
    <n v="4198"/>
    <n v="16379"/>
    <n v="2"/>
    <n v="12"/>
    <n v="3"/>
    <n v="2"/>
    <n v="80"/>
    <n v="0"/>
    <n v="8"/>
    <n v="4"/>
    <n v="3"/>
    <n v="2"/>
    <n v="1"/>
    <n v="2"/>
  </r>
  <r>
    <s v="No"/>
    <s v="Travel_Rarely"/>
    <x v="0"/>
    <s v="Current Employees"/>
    <x v="0"/>
    <x v="0"/>
    <x v="1087"/>
    <x v="1087"/>
    <x v="0"/>
    <x v="0"/>
    <x v="0"/>
    <s v="No"/>
    <s v="Y"/>
    <n v="5"/>
    <n v="-2"/>
    <n v="0"/>
    <x v="9"/>
    <x v="1"/>
    <m/>
    <n v="0"/>
    <n v="1"/>
    <n v="884"/>
    <n v="1"/>
    <x v="2"/>
    <n v="1"/>
    <n v="2"/>
    <n v="73"/>
    <n v="3"/>
    <n v="2"/>
    <n v="3"/>
    <n v="6815"/>
    <n v="21447"/>
    <n v="6"/>
    <n v="13"/>
    <n v="3"/>
    <n v="1"/>
    <n v="80"/>
    <n v="0"/>
    <n v="15"/>
    <n v="3"/>
    <n v="1"/>
    <n v="0"/>
    <n v="0"/>
    <n v="0"/>
  </r>
  <r>
    <s v="No"/>
    <s v="Travel_Rarely"/>
    <x v="4"/>
    <s v="Current Employees"/>
    <x v="0"/>
    <x v="2"/>
    <x v="1088"/>
    <x v="1088"/>
    <x v="0"/>
    <x v="6"/>
    <x v="0"/>
    <s v="No"/>
    <s v="Y"/>
    <n v="3"/>
    <n v="-2"/>
    <n v="0"/>
    <x v="35"/>
    <x v="1"/>
    <m/>
    <n v="0"/>
    <n v="1"/>
    <n v="1141"/>
    <n v="2"/>
    <x v="3"/>
    <n v="1"/>
    <n v="3"/>
    <n v="31"/>
    <n v="3"/>
    <n v="1"/>
    <n v="3"/>
    <n v="2783"/>
    <n v="13251"/>
    <n v="1"/>
    <n v="19"/>
    <n v="3"/>
    <n v="1"/>
    <n v="80"/>
    <n v="0"/>
    <n v="2"/>
    <n v="3"/>
    <n v="2"/>
    <n v="2"/>
    <n v="2"/>
    <n v="2"/>
  </r>
  <r>
    <s v="No"/>
    <s v="Travel_Rarely"/>
    <x v="0"/>
    <s v="Current Employees"/>
    <x v="0"/>
    <x v="0"/>
    <x v="1089"/>
    <x v="1089"/>
    <x v="0"/>
    <x v="6"/>
    <x v="0"/>
    <s v="No"/>
    <s v="Y"/>
    <n v="2"/>
    <n v="-2"/>
    <n v="0"/>
    <x v="9"/>
    <x v="1"/>
    <m/>
    <n v="0"/>
    <n v="1"/>
    <n v="530"/>
    <n v="2"/>
    <x v="2"/>
    <n v="1"/>
    <n v="3"/>
    <n v="51"/>
    <n v="3"/>
    <n v="2"/>
    <n v="4"/>
    <n v="4502"/>
    <n v="7439"/>
    <n v="3"/>
    <n v="15"/>
    <n v="3"/>
    <n v="3"/>
    <n v="80"/>
    <n v="0"/>
    <n v="17"/>
    <n v="2"/>
    <n v="13"/>
    <n v="7"/>
    <n v="6"/>
    <n v="7"/>
  </r>
  <r>
    <s v="No"/>
    <s v="Travel_Rarely"/>
    <x v="2"/>
    <s v="Current Employees"/>
    <x v="0"/>
    <x v="0"/>
    <x v="1090"/>
    <x v="1090"/>
    <x v="0"/>
    <x v="0"/>
    <x v="0"/>
    <s v="No"/>
    <s v="Y"/>
    <n v="3"/>
    <n v="-2"/>
    <n v="0"/>
    <x v="13"/>
    <x v="1"/>
    <m/>
    <n v="0"/>
    <n v="1"/>
    <n v="511"/>
    <n v="3"/>
    <x v="0"/>
    <n v="1"/>
    <n v="4"/>
    <n v="32"/>
    <n v="1"/>
    <n v="2"/>
    <n v="4"/>
    <n v="6029"/>
    <n v="25353"/>
    <n v="5"/>
    <n v="12"/>
    <n v="3"/>
    <n v="1"/>
    <n v="80"/>
    <n v="0"/>
    <n v="6"/>
    <n v="3"/>
    <n v="2"/>
    <n v="2"/>
    <n v="2"/>
    <n v="2"/>
  </r>
  <r>
    <s v="No"/>
    <s v="Travel_Rarely"/>
    <x v="2"/>
    <s v="Current Employees"/>
    <x v="0"/>
    <x v="1"/>
    <x v="1091"/>
    <x v="1091"/>
    <x v="0"/>
    <x v="6"/>
    <x v="0"/>
    <s v="No"/>
    <s v="Y"/>
    <n v="2"/>
    <n v="-2"/>
    <n v="0"/>
    <x v="25"/>
    <x v="1"/>
    <m/>
    <n v="0"/>
    <n v="1"/>
    <n v="1167"/>
    <n v="5"/>
    <x v="3"/>
    <n v="1"/>
    <n v="4"/>
    <n v="30"/>
    <n v="2"/>
    <n v="1"/>
    <n v="3"/>
    <n v="2966"/>
    <n v="21378"/>
    <n v="0"/>
    <n v="18"/>
    <n v="3"/>
    <n v="4"/>
    <n v="80"/>
    <n v="0"/>
    <n v="5"/>
    <n v="3"/>
    <n v="4"/>
    <n v="2"/>
    <n v="0"/>
    <n v="0"/>
  </r>
  <r>
    <s v="No"/>
    <s v="Travel_Rarely"/>
    <x v="1"/>
    <s v="Current Employees"/>
    <x v="0"/>
    <x v="0"/>
    <x v="1092"/>
    <x v="1092"/>
    <x v="0"/>
    <x v="0"/>
    <x v="0"/>
    <s v="No"/>
    <s v="Y"/>
    <n v="3"/>
    <n v="-2"/>
    <n v="0"/>
    <x v="28"/>
    <x v="1"/>
    <m/>
    <n v="0"/>
    <n v="1"/>
    <n v="374"/>
    <n v="20"/>
    <x v="3"/>
    <n v="1"/>
    <n v="4"/>
    <n v="50"/>
    <n v="3"/>
    <n v="2"/>
    <n v="3"/>
    <n v="4850"/>
    <n v="23333"/>
    <n v="8"/>
    <n v="15"/>
    <n v="3"/>
    <n v="3"/>
    <n v="80"/>
    <n v="0"/>
    <n v="8"/>
    <n v="3"/>
    <n v="5"/>
    <n v="3"/>
    <n v="0"/>
    <n v="1"/>
  </r>
  <r>
    <s v="No"/>
    <s v="Travel_Rarely"/>
    <x v="1"/>
    <s v="Current Employees"/>
    <x v="0"/>
    <x v="3"/>
    <x v="1093"/>
    <x v="1093"/>
    <x v="0"/>
    <x v="0"/>
    <x v="0"/>
    <s v="No"/>
    <s v="Y"/>
    <n v="1"/>
    <n v="-2"/>
    <n v="0"/>
    <x v="1"/>
    <x v="1"/>
    <m/>
    <n v="0"/>
    <n v="1"/>
    <n v="1313"/>
    <n v="11"/>
    <x v="2"/>
    <n v="1"/>
    <n v="4"/>
    <n v="80"/>
    <n v="3"/>
    <n v="2"/>
    <n v="2"/>
    <n v="4507"/>
    <n v="8191"/>
    <n v="3"/>
    <n v="12"/>
    <n v="3"/>
    <n v="3"/>
    <n v="80"/>
    <n v="0"/>
    <n v="8"/>
    <n v="4"/>
    <n v="5"/>
    <n v="1"/>
    <n v="0"/>
    <n v="4"/>
  </r>
  <r>
    <s v="No"/>
    <s v="Non-Travel"/>
    <x v="2"/>
    <s v="Current Employees"/>
    <x v="2"/>
    <x v="0"/>
    <x v="1094"/>
    <x v="1094"/>
    <x v="1"/>
    <x v="8"/>
    <x v="2"/>
    <s v="No"/>
    <s v="Y"/>
    <n v="2"/>
    <n v="-2"/>
    <n v="0"/>
    <x v="14"/>
    <x v="1"/>
    <m/>
    <n v="0"/>
    <n v="1"/>
    <n v="280"/>
    <n v="1"/>
    <x v="0"/>
    <n v="1"/>
    <n v="3"/>
    <n v="43"/>
    <n v="3"/>
    <n v="1"/>
    <n v="4"/>
    <n v="2706"/>
    <n v="10494"/>
    <n v="1"/>
    <n v="15"/>
    <n v="3"/>
    <n v="2"/>
    <n v="80"/>
    <n v="1"/>
    <n v="3"/>
    <n v="3"/>
    <n v="3"/>
    <n v="2"/>
    <n v="2"/>
    <n v="2"/>
  </r>
  <r>
    <s v="No"/>
    <s v="Non-Travel"/>
    <x v="0"/>
    <s v="Current Employees"/>
    <x v="2"/>
    <x v="5"/>
    <x v="1095"/>
    <x v="1095"/>
    <x v="1"/>
    <x v="8"/>
    <x v="2"/>
    <s v="No"/>
    <s v="Y"/>
    <n v="3"/>
    <n v="-2"/>
    <n v="0"/>
    <x v="8"/>
    <x v="1"/>
    <m/>
    <n v="0"/>
    <n v="1"/>
    <n v="1336"/>
    <n v="2"/>
    <x v="3"/>
    <n v="1"/>
    <n v="1"/>
    <n v="100"/>
    <n v="3"/>
    <n v="1"/>
    <n v="2"/>
    <n v="2592"/>
    <n v="7129"/>
    <n v="5"/>
    <n v="13"/>
    <n v="3"/>
    <n v="4"/>
    <n v="80"/>
    <n v="3"/>
    <n v="13"/>
    <n v="3"/>
    <n v="11"/>
    <n v="10"/>
    <n v="3"/>
    <n v="8"/>
  </r>
  <r>
    <s v="No"/>
    <s v="Non-Travel"/>
    <x v="0"/>
    <s v="Current Employees"/>
    <x v="2"/>
    <x v="5"/>
    <x v="1096"/>
    <x v="1096"/>
    <x v="1"/>
    <x v="8"/>
    <x v="1"/>
    <s v="No"/>
    <s v="Y"/>
    <n v="4"/>
    <n v="-2"/>
    <n v="0"/>
    <x v="0"/>
    <x v="1"/>
    <m/>
    <n v="0"/>
    <n v="1"/>
    <n v="552"/>
    <n v="4"/>
    <x v="3"/>
    <n v="1"/>
    <n v="3"/>
    <n v="60"/>
    <n v="1"/>
    <n v="2"/>
    <n v="2"/>
    <n v="6430"/>
    <n v="20794"/>
    <n v="6"/>
    <n v="19"/>
    <n v="3"/>
    <n v="2"/>
    <n v="80"/>
    <n v="1"/>
    <n v="10"/>
    <n v="3"/>
    <n v="3"/>
    <n v="2"/>
    <n v="1"/>
    <n v="2"/>
  </r>
  <r>
    <s v="No"/>
    <s v="Non-Travel"/>
    <x v="0"/>
    <s v="Current Employees"/>
    <x v="1"/>
    <x v="2"/>
    <x v="1097"/>
    <x v="1097"/>
    <x v="1"/>
    <x v="3"/>
    <x v="2"/>
    <s v="No"/>
    <s v="Y"/>
    <n v="6"/>
    <n v="-2"/>
    <n v="0"/>
    <x v="10"/>
    <x v="1"/>
    <m/>
    <n v="0"/>
    <n v="1"/>
    <n v="1180"/>
    <n v="2"/>
    <x v="0"/>
    <n v="1"/>
    <n v="2"/>
    <n v="90"/>
    <n v="3"/>
    <n v="2"/>
    <n v="4"/>
    <n v="5762"/>
    <n v="24442"/>
    <n v="2"/>
    <n v="14"/>
    <n v="3"/>
    <n v="3"/>
    <n v="80"/>
    <n v="1"/>
    <n v="15"/>
    <n v="3"/>
    <n v="7"/>
    <n v="7"/>
    <n v="1"/>
    <n v="7"/>
  </r>
  <r>
    <s v="No"/>
    <s v="Non-Travel"/>
    <x v="0"/>
    <s v="Current Employees"/>
    <x v="1"/>
    <x v="2"/>
    <x v="1098"/>
    <x v="1098"/>
    <x v="1"/>
    <x v="7"/>
    <x v="2"/>
    <s v="No"/>
    <s v="Y"/>
    <n v="5"/>
    <n v="-2"/>
    <n v="0"/>
    <x v="32"/>
    <x v="1"/>
    <m/>
    <n v="0"/>
    <n v="1"/>
    <n v="218"/>
    <n v="8"/>
    <x v="1"/>
    <n v="1"/>
    <n v="4"/>
    <n v="55"/>
    <n v="2"/>
    <n v="3"/>
    <n v="2"/>
    <n v="13757"/>
    <n v="25178"/>
    <n v="2"/>
    <n v="11"/>
    <n v="3"/>
    <n v="3"/>
    <n v="80"/>
    <n v="1"/>
    <n v="16"/>
    <n v="3"/>
    <n v="9"/>
    <n v="8"/>
    <n v="4"/>
    <n v="8"/>
  </r>
  <r>
    <s v="No"/>
    <s v="Non-Travel"/>
    <x v="2"/>
    <s v="Current Employees"/>
    <x v="1"/>
    <x v="4"/>
    <x v="1099"/>
    <x v="1099"/>
    <x v="1"/>
    <x v="1"/>
    <x v="2"/>
    <s v="No"/>
    <s v="Y"/>
    <n v="2"/>
    <n v="-2"/>
    <n v="0"/>
    <x v="7"/>
    <x v="1"/>
    <m/>
    <n v="0"/>
    <n v="1"/>
    <n v="990"/>
    <n v="7"/>
    <x v="3"/>
    <n v="1"/>
    <n v="4"/>
    <n v="64"/>
    <n v="3"/>
    <n v="1"/>
    <n v="4"/>
    <n v="1274"/>
    <n v="7152"/>
    <n v="1"/>
    <n v="13"/>
    <n v="3"/>
    <n v="2"/>
    <n v="80"/>
    <n v="2"/>
    <n v="1"/>
    <n v="2"/>
    <n v="1"/>
    <n v="0"/>
    <n v="0"/>
    <n v="0"/>
  </r>
  <r>
    <s v="No"/>
    <s v="Non-Travel"/>
    <x v="0"/>
    <s v="Current Employees"/>
    <x v="1"/>
    <x v="1"/>
    <x v="1100"/>
    <x v="1100"/>
    <x v="1"/>
    <x v="2"/>
    <x v="2"/>
    <s v="No"/>
    <s v="Y"/>
    <n v="2"/>
    <n v="-2"/>
    <n v="0"/>
    <x v="32"/>
    <x v="1"/>
    <m/>
    <n v="0"/>
    <n v="1"/>
    <n v="663"/>
    <n v="9"/>
    <x v="2"/>
    <n v="1"/>
    <n v="3"/>
    <n v="81"/>
    <n v="3"/>
    <n v="2"/>
    <n v="3"/>
    <n v="3975"/>
    <n v="23099"/>
    <n v="3"/>
    <n v="11"/>
    <n v="3"/>
    <n v="3"/>
    <n v="80"/>
    <n v="2"/>
    <n v="11"/>
    <n v="4"/>
    <n v="8"/>
    <n v="7"/>
    <n v="0"/>
    <n v="7"/>
  </r>
  <r>
    <s v="No"/>
    <s v="Non-Travel"/>
    <x v="2"/>
    <s v="Current Employees"/>
    <x v="1"/>
    <x v="4"/>
    <x v="1101"/>
    <x v="1101"/>
    <x v="1"/>
    <x v="1"/>
    <x v="2"/>
    <s v="No"/>
    <s v="Y"/>
    <n v="2"/>
    <n v="-2"/>
    <n v="0"/>
    <x v="3"/>
    <x v="1"/>
    <m/>
    <n v="0"/>
    <n v="1"/>
    <n v="775"/>
    <n v="4"/>
    <x v="3"/>
    <n v="1"/>
    <n v="4"/>
    <n v="90"/>
    <n v="3"/>
    <n v="2"/>
    <n v="4"/>
    <n v="3055"/>
    <n v="6194"/>
    <n v="5"/>
    <n v="15"/>
    <n v="3"/>
    <n v="4"/>
    <n v="80"/>
    <n v="2"/>
    <n v="11"/>
    <n v="2"/>
    <n v="9"/>
    <n v="8"/>
    <n v="1"/>
    <n v="7"/>
  </r>
  <r>
    <s v="No"/>
    <s v="Non-Travel"/>
    <x v="2"/>
    <s v="Current Employees"/>
    <x v="1"/>
    <x v="2"/>
    <x v="1102"/>
    <x v="1102"/>
    <x v="1"/>
    <x v="2"/>
    <x v="2"/>
    <s v="No"/>
    <s v="Y"/>
    <n v="2"/>
    <n v="-2"/>
    <n v="0"/>
    <x v="3"/>
    <x v="1"/>
    <m/>
    <n v="0"/>
    <n v="1"/>
    <n v="1313"/>
    <n v="1"/>
    <x v="0"/>
    <n v="1"/>
    <n v="2"/>
    <n v="59"/>
    <n v="2"/>
    <n v="1"/>
    <n v="3"/>
    <n v="2008"/>
    <n v="20439"/>
    <n v="1"/>
    <n v="12"/>
    <n v="3"/>
    <n v="3"/>
    <n v="80"/>
    <n v="3"/>
    <n v="1"/>
    <n v="2"/>
    <n v="1"/>
    <n v="1"/>
    <n v="0"/>
    <n v="0"/>
  </r>
  <r>
    <s v="No"/>
    <s v="Non-Travel"/>
    <x v="1"/>
    <s v="Current Employees"/>
    <x v="1"/>
    <x v="4"/>
    <x v="1103"/>
    <x v="1103"/>
    <x v="1"/>
    <x v="1"/>
    <x v="1"/>
    <s v="No"/>
    <s v="Y"/>
    <n v="4"/>
    <n v="-2"/>
    <n v="0"/>
    <x v="40"/>
    <x v="1"/>
    <m/>
    <n v="0"/>
    <n v="1"/>
    <n v="1169"/>
    <n v="14"/>
    <x v="2"/>
    <n v="1"/>
    <n v="4"/>
    <n v="64"/>
    <n v="3"/>
    <n v="2"/>
    <n v="4"/>
    <n v="5467"/>
    <n v="2125"/>
    <n v="8"/>
    <n v="18"/>
    <n v="3"/>
    <n v="3"/>
    <n v="80"/>
    <n v="1"/>
    <n v="16"/>
    <n v="4"/>
    <n v="8"/>
    <n v="7"/>
    <n v="1"/>
    <n v="7"/>
  </r>
  <r>
    <s v="No"/>
    <s v="Non-Travel"/>
    <x v="2"/>
    <s v="Current Employees"/>
    <x v="1"/>
    <x v="4"/>
    <x v="1104"/>
    <x v="1104"/>
    <x v="1"/>
    <x v="1"/>
    <x v="1"/>
    <s v="No"/>
    <s v="Y"/>
    <n v="3"/>
    <n v="-2"/>
    <n v="0"/>
    <x v="5"/>
    <x v="1"/>
    <m/>
    <n v="0"/>
    <n v="1"/>
    <n v="1200"/>
    <n v="1"/>
    <x v="2"/>
    <n v="1"/>
    <n v="4"/>
    <n v="62"/>
    <n v="3"/>
    <n v="2"/>
    <n v="4"/>
    <n v="4087"/>
    <n v="25174"/>
    <n v="4"/>
    <n v="14"/>
    <n v="3"/>
    <n v="2"/>
    <n v="80"/>
    <n v="1"/>
    <n v="9"/>
    <n v="2"/>
    <n v="6"/>
    <n v="5"/>
    <n v="1"/>
    <n v="2"/>
  </r>
  <r>
    <s v="No"/>
    <s v="Non-Travel"/>
    <x v="0"/>
    <s v="Current Employees"/>
    <x v="1"/>
    <x v="0"/>
    <x v="1105"/>
    <x v="1105"/>
    <x v="1"/>
    <x v="1"/>
    <x v="0"/>
    <s v="No"/>
    <s v="Y"/>
    <n v="2"/>
    <n v="-2"/>
    <n v="0"/>
    <x v="23"/>
    <x v="1"/>
    <m/>
    <n v="0"/>
    <n v="1"/>
    <n v="343"/>
    <n v="9"/>
    <x v="3"/>
    <n v="1"/>
    <n v="1"/>
    <n v="52"/>
    <n v="3"/>
    <n v="1"/>
    <n v="3"/>
    <n v="2438"/>
    <n v="24978"/>
    <n v="4"/>
    <n v="13"/>
    <n v="3"/>
    <n v="3"/>
    <n v="80"/>
    <n v="0"/>
    <n v="7"/>
    <n v="2"/>
    <n v="3"/>
    <n v="2"/>
    <n v="1"/>
    <n v="2"/>
  </r>
  <r>
    <s v="No"/>
    <s v="Non-Travel"/>
    <x v="2"/>
    <s v="Current Employees"/>
    <x v="1"/>
    <x v="2"/>
    <x v="1106"/>
    <x v="1106"/>
    <x v="1"/>
    <x v="3"/>
    <x v="0"/>
    <s v="No"/>
    <s v="Y"/>
    <n v="2"/>
    <n v="-2"/>
    <n v="0"/>
    <x v="12"/>
    <x v="1"/>
    <m/>
    <n v="0"/>
    <n v="1"/>
    <n v="325"/>
    <n v="5"/>
    <x v="3"/>
    <n v="1"/>
    <n v="2"/>
    <n v="74"/>
    <n v="3"/>
    <n v="2"/>
    <n v="3"/>
    <n v="9936"/>
    <n v="3787"/>
    <n v="0"/>
    <n v="19"/>
    <n v="3"/>
    <n v="2"/>
    <n v="80"/>
    <n v="0"/>
    <n v="10"/>
    <n v="3"/>
    <n v="9"/>
    <n v="4"/>
    <n v="1"/>
    <n v="7"/>
  </r>
  <r>
    <s v="No"/>
    <s v="Non-Travel"/>
    <x v="2"/>
    <s v="Current Employees"/>
    <x v="1"/>
    <x v="4"/>
    <x v="1107"/>
    <x v="1107"/>
    <x v="1"/>
    <x v="1"/>
    <x v="0"/>
    <s v="No"/>
    <s v="Y"/>
    <n v="3"/>
    <n v="-2"/>
    <n v="0"/>
    <x v="5"/>
    <x v="1"/>
    <m/>
    <n v="0"/>
    <n v="1"/>
    <n v="953"/>
    <n v="5"/>
    <x v="2"/>
    <n v="1"/>
    <n v="4"/>
    <n v="65"/>
    <n v="3"/>
    <n v="1"/>
    <n v="4"/>
    <n v="2718"/>
    <n v="17674"/>
    <n v="2"/>
    <n v="14"/>
    <n v="3"/>
    <n v="2"/>
    <n v="80"/>
    <n v="0"/>
    <n v="12"/>
    <n v="3"/>
    <n v="7"/>
    <n v="7"/>
    <n v="0"/>
    <n v="7"/>
  </r>
  <r>
    <s v="No"/>
    <s v="Non-Travel"/>
    <x v="0"/>
    <s v="Current Employees"/>
    <x v="1"/>
    <x v="0"/>
    <x v="1108"/>
    <x v="1108"/>
    <x v="1"/>
    <x v="2"/>
    <x v="0"/>
    <s v="No"/>
    <s v="Y"/>
    <n v="5"/>
    <n v="-2"/>
    <n v="0"/>
    <x v="20"/>
    <x v="1"/>
    <m/>
    <n v="0"/>
    <n v="1"/>
    <n v="981"/>
    <n v="5"/>
    <x v="3"/>
    <n v="1"/>
    <n v="3"/>
    <n v="90"/>
    <n v="2"/>
    <n v="1"/>
    <n v="3"/>
    <n v="3162"/>
    <n v="7973"/>
    <n v="3"/>
    <n v="14"/>
    <n v="3"/>
    <n v="4"/>
    <n v="80"/>
    <n v="0"/>
    <n v="7"/>
    <n v="3"/>
    <n v="5"/>
    <n v="2"/>
    <n v="0"/>
    <n v="3"/>
  </r>
  <r>
    <s v="No"/>
    <s v="Non-Travel"/>
    <x v="2"/>
    <s v="Current Employees"/>
    <x v="1"/>
    <x v="2"/>
    <x v="1109"/>
    <x v="1109"/>
    <x v="1"/>
    <x v="1"/>
    <x v="0"/>
    <s v="No"/>
    <s v="Y"/>
    <n v="3"/>
    <n v="-2"/>
    <n v="0"/>
    <x v="14"/>
    <x v="1"/>
    <m/>
    <n v="0"/>
    <n v="1"/>
    <n v="1103"/>
    <n v="16"/>
    <x v="3"/>
    <n v="1"/>
    <n v="3"/>
    <n v="49"/>
    <n v="3"/>
    <n v="1"/>
    <n v="3"/>
    <n v="2144"/>
    <n v="2122"/>
    <n v="1"/>
    <n v="14"/>
    <n v="3"/>
    <n v="3"/>
    <n v="80"/>
    <n v="0"/>
    <n v="5"/>
    <n v="2"/>
    <n v="5"/>
    <n v="3"/>
    <n v="1"/>
    <n v="4"/>
  </r>
  <r>
    <s v="No"/>
    <s v="Non-Travel"/>
    <x v="0"/>
    <s v="Current Employees"/>
    <x v="1"/>
    <x v="4"/>
    <x v="1110"/>
    <x v="1110"/>
    <x v="1"/>
    <x v="2"/>
    <x v="0"/>
    <s v="No"/>
    <s v="Y"/>
    <n v="2"/>
    <n v="-2"/>
    <n v="0"/>
    <x v="2"/>
    <x v="1"/>
    <m/>
    <n v="0"/>
    <n v="1"/>
    <n v="1413"/>
    <n v="5"/>
    <x v="0"/>
    <n v="1"/>
    <n v="4"/>
    <n v="84"/>
    <n v="4"/>
    <n v="1"/>
    <n v="4"/>
    <n v="3500"/>
    <n v="25470"/>
    <n v="0"/>
    <n v="14"/>
    <n v="3"/>
    <n v="1"/>
    <n v="80"/>
    <n v="0"/>
    <n v="7"/>
    <n v="1"/>
    <n v="6"/>
    <n v="5"/>
    <n v="1"/>
    <n v="3"/>
  </r>
  <r>
    <s v="No"/>
    <s v="Non-Travel"/>
    <x v="0"/>
    <s v="Current Employees"/>
    <x v="1"/>
    <x v="0"/>
    <x v="1111"/>
    <x v="1111"/>
    <x v="1"/>
    <x v="1"/>
    <x v="0"/>
    <s v="No"/>
    <s v="Y"/>
    <n v="2"/>
    <n v="-2"/>
    <n v="0"/>
    <x v="19"/>
    <x v="1"/>
    <m/>
    <n v="0"/>
    <n v="1"/>
    <n v="335"/>
    <n v="23"/>
    <x v="0"/>
    <n v="1"/>
    <n v="4"/>
    <n v="37"/>
    <n v="2"/>
    <n v="2"/>
    <n v="3"/>
    <n v="4332"/>
    <n v="14811"/>
    <n v="1"/>
    <n v="12"/>
    <n v="3"/>
    <n v="4"/>
    <n v="80"/>
    <n v="0"/>
    <n v="20"/>
    <n v="3"/>
    <n v="20"/>
    <n v="9"/>
    <n v="3"/>
    <n v="7"/>
  </r>
  <r>
    <s v="No"/>
    <s v="Non-Travel"/>
    <x v="0"/>
    <s v="Current Employees"/>
    <x v="1"/>
    <x v="0"/>
    <x v="1112"/>
    <x v="1112"/>
    <x v="1"/>
    <x v="5"/>
    <x v="0"/>
    <s v="No"/>
    <s v="Y"/>
    <n v="3"/>
    <n v="-2"/>
    <n v="0"/>
    <x v="22"/>
    <x v="1"/>
    <m/>
    <n v="0"/>
    <n v="1"/>
    <n v="105"/>
    <n v="9"/>
    <x v="3"/>
    <n v="1"/>
    <n v="4"/>
    <n v="87"/>
    <n v="3"/>
    <n v="5"/>
    <n v="4"/>
    <n v="19431"/>
    <n v="15302"/>
    <n v="2"/>
    <n v="13"/>
    <n v="3"/>
    <n v="3"/>
    <n v="80"/>
    <n v="0"/>
    <n v="21"/>
    <n v="2"/>
    <n v="6"/>
    <n v="0"/>
    <n v="1"/>
    <n v="3"/>
  </r>
  <r>
    <s v="No"/>
    <s v="Non-Travel"/>
    <x v="1"/>
    <s v="Current Employees"/>
    <x v="0"/>
    <x v="0"/>
    <x v="1113"/>
    <x v="1113"/>
    <x v="1"/>
    <x v="6"/>
    <x v="2"/>
    <s v="No"/>
    <s v="Y"/>
    <n v="3"/>
    <n v="-2"/>
    <n v="0"/>
    <x v="39"/>
    <x v="1"/>
    <m/>
    <n v="0"/>
    <n v="1"/>
    <n v="585"/>
    <n v="29"/>
    <x v="2"/>
    <n v="1"/>
    <n v="1"/>
    <n v="40"/>
    <n v="3"/>
    <n v="1"/>
    <n v="4"/>
    <n v="3482"/>
    <n v="19788"/>
    <n v="2"/>
    <n v="15"/>
    <n v="3"/>
    <n v="2"/>
    <n v="80"/>
    <n v="2"/>
    <n v="16"/>
    <n v="2"/>
    <n v="9"/>
    <n v="8"/>
    <n v="0"/>
    <n v="0"/>
  </r>
  <r>
    <s v="No"/>
    <s v="Non-Travel"/>
    <x v="1"/>
    <s v="Current Employees"/>
    <x v="0"/>
    <x v="3"/>
    <x v="1114"/>
    <x v="1114"/>
    <x v="1"/>
    <x v="0"/>
    <x v="1"/>
    <s v="No"/>
    <s v="Y"/>
    <n v="2"/>
    <n v="-2"/>
    <n v="0"/>
    <x v="28"/>
    <x v="1"/>
    <m/>
    <n v="0"/>
    <n v="1"/>
    <n v="336"/>
    <n v="26"/>
    <x v="3"/>
    <n v="1"/>
    <n v="1"/>
    <n v="52"/>
    <n v="2"/>
    <n v="2"/>
    <n v="2"/>
    <n v="4385"/>
    <n v="24162"/>
    <n v="1"/>
    <n v="15"/>
    <n v="3"/>
    <n v="1"/>
    <n v="80"/>
    <n v="1"/>
    <n v="10"/>
    <n v="3"/>
    <n v="10"/>
    <n v="7"/>
    <n v="4"/>
    <n v="5"/>
  </r>
  <r>
    <s v="No"/>
    <s v="Non-Travel"/>
    <x v="1"/>
    <s v="Current Employees"/>
    <x v="0"/>
    <x v="3"/>
    <x v="1115"/>
    <x v="1115"/>
    <x v="1"/>
    <x v="0"/>
    <x v="1"/>
    <s v="No"/>
    <s v="Y"/>
    <n v="3"/>
    <n v="-2"/>
    <n v="0"/>
    <x v="40"/>
    <x v="1"/>
    <m/>
    <n v="0"/>
    <n v="1"/>
    <n v="543"/>
    <n v="2"/>
    <x v="2"/>
    <n v="1"/>
    <n v="3"/>
    <n v="87"/>
    <n v="3"/>
    <n v="2"/>
    <n v="2"/>
    <n v="4978"/>
    <n v="3536"/>
    <n v="7"/>
    <n v="11"/>
    <n v="3"/>
    <n v="4"/>
    <n v="80"/>
    <n v="1"/>
    <n v="4"/>
    <n v="1"/>
    <n v="1"/>
    <n v="0"/>
    <n v="0"/>
    <n v="0"/>
  </r>
  <r>
    <s v="No"/>
    <s v="Non-Travel"/>
    <x v="1"/>
    <s v="Current Employees"/>
    <x v="0"/>
    <x v="0"/>
    <x v="1116"/>
    <x v="1116"/>
    <x v="1"/>
    <x v="0"/>
    <x v="0"/>
    <s v="No"/>
    <s v="Y"/>
    <n v="3"/>
    <n v="-2"/>
    <n v="0"/>
    <x v="21"/>
    <x v="1"/>
    <m/>
    <n v="0"/>
    <n v="1"/>
    <n v="849"/>
    <n v="26"/>
    <x v="0"/>
    <n v="1"/>
    <n v="2"/>
    <n v="98"/>
    <n v="2"/>
    <n v="2"/>
    <n v="2"/>
    <n v="7991"/>
    <n v="25166"/>
    <n v="8"/>
    <n v="15"/>
    <n v="3"/>
    <n v="3"/>
    <n v="80"/>
    <n v="0"/>
    <n v="6"/>
    <n v="3"/>
    <n v="2"/>
    <n v="2"/>
    <n v="2"/>
    <n v="2"/>
  </r>
  <r>
    <s v="No"/>
    <s v="Travel_Frequently"/>
    <x v="0"/>
    <s v="Current Employees"/>
    <x v="2"/>
    <x v="5"/>
    <x v="1117"/>
    <x v="1117"/>
    <x v="1"/>
    <x v="8"/>
    <x v="1"/>
    <s v="No"/>
    <s v="Y"/>
    <n v="2"/>
    <n v="-2"/>
    <n v="0"/>
    <x v="8"/>
    <x v="1"/>
    <m/>
    <n v="0"/>
    <n v="1"/>
    <n v="888"/>
    <n v="10"/>
    <x v="2"/>
    <n v="1"/>
    <n v="3"/>
    <n v="71"/>
    <n v="3"/>
    <n v="2"/>
    <n v="3"/>
    <n v="6077"/>
    <n v="14814"/>
    <n v="3"/>
    <n v="11"/>
    <n v="3"/>
    <n v="3"/>
    <n v="80"/>
    <n v="0"/>
    <n v="10"/>
    <n v="3"/>
    <n v="6"/>
    <n v="3"/>
    <n v="1"/>
    <n v="2"/>
  </r>
  <r>
    <s v="No"/>
    <s v="Travel_Frequently"/>
    <x v="4"/>
    <s v="Current Employees"/>
    <x v="2"/>
    <x v="2"/>
    <x v="1118"/>
    <x v="1118"/>
    <x v="1"/>
    <x v="8"/>
    <x v="1"/>
    <s v="No"/>
    <s v="Y"/>
    <n v="2"/>
    <n v="-2"/>
    <n v="0"/>
    <x v="17"/>
    <x v="1"/>
    <m/>
    <n v="0"/>
    <n v="1"/>
    <n v="897"/>
    <n v="10"/>
    <x v="3"/>
    <n v="1"/>
    <n v="1"/>
    <n v="59"/>
    <n v="3"/>
    <n v="1"/>
    <n v="4"/>
    <n v="2145"/>
    <n v="2097"/>
    <n v="0"/>
    <n v="14"/>
    <n v="3"/>
    <n v="4"/>
    <n v="80"/>
    <n v="1"/>
    <n v="3"/>
    <n v="3"/>
    <n v="2"/>
    <n v="2"/>
    <n v="2"/>
    <n v="1"/>
  </r>
  <r>
    <s v="No"/>
    <s v="Travel_Frequently"/>
    <x v="2"/>
    <s v="Current Employees"/>
    <x v="1"/>
    <x v="0"/>
    <x v="1119"/>
    <x v="1119"/>
    <x v="1"/>
    <x v="4"/>
    <x v="2"/>
    <s v="No"/>
    <s v="Y"/>
    <n v="0"/>
    <n v="-2"/>
    <n v="0"/>
    <x v="11"/>
    <x v="1"/>
    <m/>
    <n v="0"/>
    <n v="1"/>
    <n v="995"/>
    <n v="2"/>
    <x v="1"/>
    <n v="1"/>
    <n v="1"/>
    <n v="87"/>
    <n v="3"/>
    <n v="2"/>
    <n v="4"/>
    <n v="8853"/>
    <n v="24483"/>
    <n v="1"/>
    <n v="19"/>
    <n v="3"/>
    <n v="4"/>
    <n v="80"/>
    <n v="1"/>
    <n v="6"/>
    <n v="4"/>
    <n v="6"/>
    <n v="4"/>
    <n v="1"/>
    <n v="3"/>
  </r>
  <r>
    <s v="No"/>
    <s v="Travel_Frequently"/>
    <x v="2"/>
    <s v="Current Employees"/>
    <x v="1"/>
    <x v="0"/>
    <x v="1120"/>
    <x v="1120"/>
    <x v="1"/>
    <x v="3"/>
    <x v="2"/>
    <s v="No"/>
    <s v="Y"/>
    <n v="3"/>
    <n v="-2"/>
    <n v="0"/>
    <x v="13"/>
    <x v="1"/>
    <m/>
    <n v="0"/>
    <n v="1"/>
    <n v="426"/>
    <n v="10"/>
    <x v="2"/>
    <n v="1"/>
    <n v="3"/>
    <n v="42"/>
    <n v="4"/>
    <n v="2"/>
    <n v="4"/>
    <n v="4724"/>
    <n v="17000"/>
    <n v="1"/>
    <n v="13"/>
    <n v="3"/>
    <n v="1"/>
    <n v="80"/>
    <n v="1"/>
    <n v="9"/>
    <n v="3"/>
    <n v="9"/>
    <n v="7"/>
    <n v="7"/>
    <n v="2"/>
  </r>
  <r>
    <s v="No"/>
    <s v="Travel_Frequently"/>
    <x v="2"/>
    <s v="Current Employees"/>
    <x v="1"/>
    <x v="2"/>
    <x v="1121"/>
    <x v="1121"/>
    <x v="1"/>
    <x v="7"/>
    <x v="2"/>
    <s v="No"/>
    <s v="Y"/>
    <n v="3"/>
    <n v="-2"/>
    <n v="0"/>
    <x v="13"/>
    <x v="1"/>
    <m/>
    <n v="0"/>
    <n v="1"/>
    <n v="829"/>
    <n v="15"/>
    <x v="3"/>
    <n v="1"/>
    <n v="2"/>
    <n v="71"/>
    <n v="3"/>
    <n v="4"/>
    <n v="3"/>
    <n v="17007"/>
    <n v="11929"/>
    <n v="7"/>
    <n v="14"/>
    <n v="3"/>
    <n v="4"/>
    <n v="80"/>
    <n v="2"/>
    <n v="16"/>
    <n v="2"/>
    <n v="14"/>
    <n v="8"/>
    <n v="6"/>
    <n v="9"/>
  </r>
  <r>
    <s v="No"/>
    <s v="Travel_Frequently"/>
    <x v="2"/>
    <s v="Current Employees"/>
    <x v="1"/>
    <x v="1"/>
    <x v="1122"/>
    <x v="1122"/>
    <x v="1"/>
    <x v="1"/>
    <x v="2"/>
    <s v="No"/>
    <s v="Y"/>
    <n v="2"/>
    <n v="-2"/>
    <n v="0"/>
    <x v="13"/>
    <x v="1"/>
    <m/>
    <n v="0"/>
    <n v="1"/>
    <n v="560"/>
    <n v="1"/>
    <x v="2"/>
    <n v="1"/>
    <n v="4"/>
    <n v="91"/>
    <n v="3"/>
    <n v="1"/>
    <n v="3"/>
    <n v="2996"/>
    <n v="20284"/>
    <n v="5"/>
    <n v="14"/>
    <n v="3"/>
    <n v="3"/>
    <n v="80"/>
    <n v="2"/>
    <n v="10"/>
    <n v="3"/>
    <n v="4"/>
    <n v="3"/>
    <n v="1"/>
    <n v="3"/>
  </r>
  <r>
    <s v="No"/>
    <s v="Travel_Frequently"/>
    <x v="2"/>
    <s v="Current Employees"/>
    <x v="1"/>
    <x v="0"/>
    <x v="1123"/>
    <x v="1123"/>
    <x v="1"/>
    <x v="3"/>
    <x v="2"/>
    <s v="No"/>
    <s v="Y"/>
    <n v="6"/>
    <n v="-2"/>
    <n v="0"/>
    <x v="36"/>
    <x v="1"/>
    <m/>
    <n v="0"/>
    <n v="1"/>
    <n v="772"/>
    <n v="2"/>
    <x v="1"/>
    <n v="1"/>
    <n v="4"/>
    <n v="77"/>
    <n v="4"/>
    <n v="2"/>
    <n v="3"/>
    <n v="5206"/>
    <n v="4973"/>
    <n v="1"/>
    <n v="17"/>
    <n v="3"/>
    <n v="3"/>
    <n v="80"/>
    <n v="2"/>
    <n v="7"/>
    <n v="3"/>
    <n v="7"/>
    <n v="7"/>
    <n v="0"/>
    <n v="7"/>
  </r>
  <r>
    <s v="No"/>
    <s v="Travel_Frequently"/>
    <x v="1"/>
    <s v="Current Employees"/>
    <x v="1"/>
    <x v="0"/>
    <x v="1124"/>
    <x v="1124"/>
    <x v="1"/>
    <x v="7"/>
    <x v="1"/>
    <s v="No"/>
    <s v="Y"/>
    <n v="3"/>
    <n v="-2"/>
    <n v="0"/>
    <x v="1"/>
    <x v="1"/>
    <m/>
    <n v="0"/>
    <n v="1"/>
    <n v="1064"/>
    <n v="2"/>
    <x v="1"/>
    <n v="1"/>
    <n v="2"/>
    <n v="42"/>
    <n v="3"/>
    <n v="5"/>
    <n v="4"/>
    <n v="19161"/>
    <n v="13738"/>
    <n v="3"/>
    <n v="15"/>
    <n v="3"/>
    <n v="4"/>
    <n v="80"/>
    <n v="0"/>
    <n v="28"/>
    <n v="3"/>
    <n v="5"/>
    <n v="4"/>
    <n v="4"/>
    <n v="3"/>
  </r>
  <r>
    <s v="No"/>
    <s v="Travel_Frequently"/>
    <x v="2"/>
    <s v="Current Employees"/>
    <x v="1"/>
    <x v="2"/>
    <x v="1125"/>
    <x v="1125"/>
    <x v="1"/>
    <x v="2"/>
    <x v="1"/>
    <s v="No"/>
    <s v="Y"/>
    <n v="3"/>
    <n v="-2"/>
    <n v="0"/>
    <x v="11"/>
    <x v="1"/>
    <m/>
    <n v="0"/>
    <n v="1"/>
    <n v="574"/>
    <n v="20"/>
    <x v="1"/>
    <n v="1"/>
    <n v="4"/>
    <n v="40"/>
    <n v="3"/>
    <n v="1"/>
    <n v="4"/>
    <n v="3812"/>
    <n v="7003"/>
    <n v="1"/>
    <n v="13"/>
    <n v="3"/>
    <n v="2"/>
    <n v="80"/>
    <n v="0"/>
    <n v="11"/>
    <n v="4"/>
    <n v="11"/>
    <n v="8"/>
    <n v="3"/>
    <n v="10"/>
  </r>
  <r>
    <s v="No"/>
    <s v="Travel_Frequently"/>
    <x v="0"/>
    <s v="Current Employees"/>
    <x v="1"/>
    <x v="0"/>
    <x v="1126"/>
    <x v="1126"/>
    <x v="1"/>
    <x v="3"/>
    <x v="1"/>
    <s v="No"/>
    <s v="Y"/>
    <n v="1"/>
    <n v="-2"/>
    <n v="0"/>
    <x v="8"/>
    <x v="1"/>
    <m/>
    <n v="0"/>
    <n v="1"/>
    <n v="508"/>
    <n v="6"/>
    <x v="2"/>
    <n v="1"/>
    <n v="1"/>
    <n v="72"/>
    <n v="2"/>
    <n v="2"/>
    <n v="3"/>
    <n v="5321"/>
    <n v="14284"/>
    <n v="2"/>
    <n v="11"/>
    <n v="3"/>
    <n v="4"/>
    <n v="80"/>
    <n v="1"/>
    <n v="10"/>
    <n v="3"/>
    <n v="8"/>
    <n v="3"/>
    <n v="7"/>
    <n v="7"/>
  </r>
  <r>
    <s v="No"/>
    <s v="Travel_Frequently"/>
    <x v="2"/>
    <s v="Current Employees"/>
    <x v="1"/>
    <x v="0"/>
    <x v="1127"/>
    <x v="1127"/>
    <x v="1"/>
    <x v="1"/>
    <x v="1"/>
    <s v="No"/>
    <s v="Y"/>
    <n v="3"/>
    <n v="-2"/>
    <n v="0"/>
    <x v="5"/>
    <x v="1"/>
    <m/>
    <n v="0"/>
    <n v="1"/>
    <n v="585"/>
    <n v="10"/>
    <x v="3"/>
    <n v="1"/>
    <n v="1"/>
    <n v="56"/>
    <n v="3"/>
    <n v="1"/>
    <n v="3"/>
    <n v="3433"/>
    <n v="17360"/>
    <n v="6"/>
    <n v="13"/>
    <n v="3"/>
    <n v="1"/>
    <n v="80"/>
    <n v="1"/>
    <n v="10"/>
    <n v="2"/>
    <n v="5"/>
    <n v="2"/>
    <n v="1"/>
    <n v="3"/>
  </r>
  <r>
    <s v="No"/>
    <s v="Travel_Frequently"/>
    <x v="2"/>
    <s v="Current Employees"/>
    <x v="1"/>
    <x v="1"/>
    <x v="1128"/>
    <x v="1128"/>
    <x v="1"/>
    <x v="2"/>
    <x v="1"/>
    <s v="No"/>
    <s v="Y"/>
    <n v="3"/>
    <n v="-2"/>
    <n v="0"/>
    <x v="25"/>
    <x v="1"/>
    <m/>
    <n v="0"/>
    <n v="1"/>
    <n v="1096"/>
    <n v="6"/>
    <x v="3"/>
    <n v="1"/>
    <n v="3"/>
    <n v="61"/>
    <n v="4"/>
    <n v="1"/>
    <n v="4"/>
    <n v="2544"/>
    <n v="7102"/>
    <n v="0"/>
    <n v="18"/>
    <n v="3"/>
    <n v="1"/>
    <n v="80"/>
    <n v="1"/>
    <n v="8"/>
    <n v="3"/>
    <n v="7"/>
    <n v="7"/>
    <n v="7"/>
    <n v="7"/>
  </r>
  <r>
    <s v="No"/>
    <s v="Travel_Frequently"/>
    <x v="0"/>
    <s v="Current Employees"/>
    <x v="1"/>
    <x v="2"/>
    <x v="1129"/>
    <x v="1129"/>
    <x v="1"/>
    <x v="2"/>
    <x v="1"/>
    <s v="No"/>
    <s v="Y"/>
    <n v="3"/>
    <n v="-2"/>
    <n v="0"/>
    <x v="9"/>
    <x v="1"/>
    <m/>
    <n v="0"/>
    <n v="1"/>
    <n v="884"/>
    <n v="23"/>
    <x v="0"/>
    <n v="1"/>
    <n v="3"/>
    <n v="41"/>
    <n v="4"/>
    <n v="2"/>
    <n v="4"/>
    <n v="2571"/>
    <n v="12290"/>
    <n v="4"/>
    <n v="17"/>
    <n v="3"/>
    <n v="3"/>
    <n v="80"/>
    <n v="1"/>
    <n v="17"/>
    <n v="3"/>
    <n v="5"/>
    <n v="2"/>
    <n v="0"/>
    <n v="3"/>
  </r>
  <r>
    <s v="No"/>
    <s v="Travel_Frequently"/>
    <x v="2"/>
    <s v="Current Employees"/>
    <x v="1"/>
    <x v="4"/>
    <x v="1130"/>
    <x v="1130"/>
    <x v="1"/>
    <x v="4"/>
    <x v="1"/>
    <s v="No"/>
    <s v="Y"/>
    <n v="3"/>
    <n v="-2"/>
    <n v="0"/>
    <x v="13"/>
    <x v="1"/>
    <m/>
    <n v="0"/>
    <n v="1"/>
    <n v="653"/>
    <n v="10"/>
    <x v="2"/>
    <n v="1"/>
    <n v="4"/>
    <n v="92"/>
    <n v="2"/>
    <n v="2"/>
    <n v="4"/>
    <n v="5063"/>
    <n v="15332"/>
    <n v="1"/>
    <n v="14"/>
    <n v="3"/>
    <n v="2"/>
    <n v="80"/>
    <n v="1"/>
    <n v="8"/>
    <n v="2"/>
    <n v="8"/>
    <n v="2"/>
    <n v="7"/>
    <n v="7"/>
  </r>
  <r>
    <s v="No"/>
    <s v="Travel_Frequently"/>
    <x v="0"/>
    <s v="Current Employees"/>
    <x v="1"/>
    <x v="0"/>
    <x v="1131"/>
    <x v="1131"/>
    <x v="1"/>
    <x v="1"/>
    <x v="1"/>
    <s v="No"/>
    <s v="Y"/>
    <n v="4"/>
    <n v="-2"/>
    <n v="0"/>
    <x v="8"/>
    <x v="1"/>
    <m/>
    <n v="0"/>
    <n v="1"/>
    <n v="1189"/>
    <n v="1"/>
    <x v="3"/>
    <n v="1"/>
    <n v="4"/>
    <n v="90"/>
    <n v="3"/>
    <n v="2"/>
    <n v="4"/>
    <n v="4735"/>
    <n v="9867"/>
    <n v="7"/>
    <n v="15"/>
    <n v="3"/>
    <n v="4"/>
    <n v="80"/>
    <n v="2"/>
    <n v="19"/>
    <n v="4"/>
    <n v="13"/>
    <n v="11"/>
    <n v="2"/>
    <n v="9"/>
  </r>
  <r>
    <s v="No"/>
    <s v="Travel_Frequently"/>
    <x v="1"/>
    <s v="Current Employees"/>
    <x v="1"/>
    <x v="2"/>
    <x v="1132"/>
    <x v="1132"/>
    <x v="1"/>
    <x v="4"/>
    <x v="0"/>
    <s v="No"/>
    <s v="Y"/>
    <n v="3"/>
    <n v="-2"/>
    <n v="0"/>
    <x v="28"/>
    <x v="1"/>
    <m/>
    <n v="0"/>
    <n v="1"/>
    <n v="1297"/>
    <n v="1"/>
    <x v="2"/>
    <n v="1"/>
    <n v="2"/>
    <n v="44"/>
    <n v="3"/>
    <n v="2"/>
    <n v="3"/>
    <n v="5399"/>
    <n v="14511"/>
    <n v="4"/>
    <n v="12"/>
    <n v="3"/>
    <n v="3"/>
    <n v="80"/>
    <n v="0"/>
    <n v="12"/>
    <n v="3"/>
    <n v="4"/>
    <n v="2"/>
    <n v="0"/>
    <n v="3"/>
  </r>
  <r>
    <s v="No"/>
    <s v="Travel_Frequently"/>
    <x v="0"/>
    <s v="Current Employees"/>
    <x v="1"/>
    <x v="0"/>
    <x v="1133"/>
    <x v="1133"/>
    <x v="1"/>
    <x v="3"/>
    <x v="0"/>
    <s v="No"/>
    <s v="Y"/>
    <n v="2"/>
    <n v="-2"/>
    <n v="0"/>
    <x v="10"/>
    <x v="1"/>
    <m/>
    <n v="0"/>
    <n v="1"/>
    <n v="200"/>
    <n v="18"/>
    <x v="0"/>
    <n v="1"/>
    <n v="3"/>
    <n v="60"/>
    <n v="3"/>
    <n v="3"/>
    <n v="4"/>
    <n v="9362"/>
    <n v="19944"/>
    <n v="2"/>
    <n v="11"/>
    <n v="3"/>
    <n v="3"/>
    <n v="80"/>
    <n v="0"/>
    <n v="10"/>
    <n v="3"/>
    <n v="2"/>
    <n v="2"/>
    <n v="2"/>
    <n v="2"/>
  </r>
  <r>
    <s v="No"/>
    <s v="Travel_Frequently"/>
    <x v="2"/>
    <s v="Current Employees"/>
    <x v="1"/>
    <x v="2"/>
    <x v="1134"/>
    <x v="1134"/>
    <x v="1"/>
    <x v="1"/>
    <x v="0"/>
    <s v="No"/>
    <s v="Y"/>
    <n v="0"/>
    <n v="-2"/>
    <n v="0"/>
    <x v="4"/>
    <x v="1"/>
    <m/>
    <n v="0"/>
    <n v="1"/>
    <n v="591"/>
    <n v="2"/>
    <x v="3"/>
    <n v="1"/>
    <n v="4"/>
    <n v="87"/>
    <n v="3"/>
    <n v="1"/>
    <n v="4"/>
    <n v="2580"/>
    <n v="6297"/>
    <n v="2"/>
    <n v="13"/>
    <n v="3"/>
    <n v="3"/>
    <n v="80"/>
    <n v="0"/>
    <n v="6"/>
    <n v="2"/>
    <n v="4"/>
    <n v="2"/>
    <n v="1"/>
    <n v="2"/>
  </r>
  <r>
    <s v="No"/>
    <s v="Travel_Frequently"/>
    <x v="0"/>
    <s v="Current Employees"/>
    <x v="0"/>
    <x v="0"/>
    <x v="1135"/>
    <x v="1135"/>
    <x v="1"/>
    <x v="0"/>
    <x v="2"/>
    <s v="No"/>
    <s v="Y"/>
    <n v="6"/>
    <n v="-2"/>
    <n v="0"/>
    <x v="22"/>
    <x v="1"/>
    <m/>
    <n v="0"/>
    <n v="1"/>
    <n v="766"/>
    <n v="20"/>
    <x v="3"/>
    <n v="1"/>
    <n v="3"/>
    <n v="83"/>
    <n v="3"/>
    <n v="2"/>
    <n v="4"/>
    <n v="4127"/>
    <n v="19188"/>
    <n v="2"/>
    <n v="18"/>
    <n v="3"/>
    <n v="4"/>
    <n v="80"/>
    <n v="1"/>
    <n v="7"/>
    <n v="3"/>
    <n v="2"/>
    <n v="1"/>
    <n v="2"/>
    <n v="2"/>
  </r>
  <r>
    <s v="No"/>
    <s v="Travel_Frequently"/>
    <x v="0"/>
    <s v="Current Employees"/>
    <x v="0"/>
    <x v="2"/>
    <x v="1136"/>
    <x v="1136"/>
    <x v="1"/>
    <x v="0"/>
    <x v="2"/>
    <s v="No"/>
    <s v="Y"/>
    <n v="2"/>
    <n v="-2"/>
    <n v="0"/>
    <x v="2"/>
    <x v="1"/>
    <m/>
    <n v="0"/>
    <n v="1"/>
    <n v="1278"/>
    <n v="1"/>
    <x v="2"/>
    <n v="1"/>
    <n v="3"/>
    <n v="31"/>
    <n v="1"/>
    <n v="2"/>
    <n v="4"/>
    <n v="9525"/>
    <n v="7677"/>
    <n v="1"/>
    <n v="14"/>
    <n v="3"/>
    <n v="3"/>
    <n v="80"/>
    <n v="2"/>
    <n v="6"/>
    <n v="2"/>
    <n v="6"/>
    <n v="3"/>
    <n v="1"/>
    <n v="3"/>
  </r>
  <r>
    <s v="No"/>
    <s v="Travel_Frequently"/>
    <x v="1"/>
    <s v="Current Employees"/>
    <x v="0"/>
    <x v="2"/>
    <x v="1137"/>
    <x v="1137"/>
    <x v="1"/>
    <x v="0"/>
    <x v="1"/>
    <s v="No"/>
    <s v="Y"/>
    <n v="3"/>
    <n v="-2"/>
    <n v="0"/>
    <x v="1"/>
    <x v="1"/>
    <m/>
    <n v="0"/>
    <n v="1"/>
    <n v="1023"/>
    <n v="2"/>
    <x v="3"/>
    <n v="1"/>
    <n v="4"/>
    <n v="63"/>
    <n v="2"/>
    <n v="2"/>
    <n v="2"/>
    <n v="5390"/>
    <n v="13243"/>
    <n v="2"/>
    <n v="14"/>
    <n v="3"/>
    <n v="4"/>
    <n v="80"/>
    <n v="0"/>
    <n v="17"/>
    <n v="2"/>
    <n v="9"/>
    <n v="6"/>
    <n v="0"/>
    <n v="8"/>
  </r>
  <r>
    <s v="No"/>
    <s v="Travel_Frequently"/>
    <x v="2"/>
    <s v="Current Employees"/>
    <x v="0"/>
    <x v="2"/>
    <x v="1138"/>
    <x v="1138"/>
    <x v="1"/>
    <x v="0"/>
    <x v="1"/>
    <s v="No"/>
    <s v="Y"/>
    <n v="2"/>
    <n v="-2"/>
    <n v="0"/>
    <x v="3"/>
    <x v="1"/>
    <m/>
    <n v="0"/>
    <n v="1"/>
    <n v="430"/>
    <n v="7"/>
    <x v="3"/>
    <n v="1"/>
    <n v="4"/>
    <n v="54"/>
    <n v="3"/>
    <n v="2"/>
    <n v="3"/>
    <n v="4373"/>
    <n v="17456"/>
    <n v="0"/>
    <n v="14"/>
    <n v="3"/>
    <n v="1"/>
    <n v="80"/>
    <n v="2"/>
    <n v="5"/>
    <n v="3"/>
    <n v="4"/>
    <n v="3"/>
    <n v="0"/>
    <n v="3"/>
  </r>
  <r>
    <s v="No"/>
    <s v="Travel_Frequently"/>
    <x v="2"/>
    <s v="Current Employees"/>
    <x v="0"/>
    <x v="0"/>
    <x v="1139"/>
    <x v="1139"/>
    <x v="1"/>
    <x v="0"/>
    <x v="0"/>
    <s v="No"/>
    <s v="Y"/>
    <n v="5"/>
    <n v="-2"/>
    <n v="0"/>
    <x v="14"/>
    <x v="1"/>
    <m/>
    <n v="0"/>
    <n v="1"/>
    <n v="467"/>
    <n v="7"/>
    <x v="3"/>
    <n v="1"/>
    <n v="3"/>
    <n v="55"/>
    <n v="3"/>
    <n v="2"/>
    <n v="3"/>
    <n v="4898"/>
    <n v="11827"/>
    <n v="0"/>
    <n v="14"/>
    <n v="3"/>
    <n v="4"/>
    <n v="80"/>
    <n v="0"/>
    <n v="5"/>
    <n v="3"/>
    <n v="4"/>
    <n v="2"/>
    <n v="1"/>
    <n v="3"/>
  </r>
  <r>
    <s v="No"/>
    <s v="Travel_Frequently"/>
    <x v="2"/>
    <s v="Current Employees"/>
    <x v="0"/>
    <x v="1"/>
    <x v="1140"/>
    <x v="1140"/>
    <x v="1"/>
    <x v="0"/>
    <x v="0"/>
    <s v="No"/>
    <s v="Y"/>
    <n v="3"/>
    <n v="-2"/>
    <n v="0"/>
    <x v="12"/>
    <x v="1"/>
    <m/>
    <n v="0"/>
    <n v="1"/>
    <n v="715"/>
    <n v="2"/>
    <x v="2"/>
    <n v="1"/>
    <n v="4"/>
    <n v="54"/>
    <n v="3"/>
    <n v="2"/>
    <n v="3"/>
    <n v="5332"/>
    <n v="21602"/>
    <n v="7"/>
    <n v="13"/>
    <n v="3"/>
    <n v="4"/>
    <n v="80"/>
    <n v="0"/>
    <n v="10"/>
    <n v="3"/>
    <n v="5"/>
    <n v="2"/>
    <n v="0"/>
    <n v="3"/>
  </r>
  <r>
    <s v="No"/>
    <s v="Travel_Frequently"/>
    <x v="2"/>
    <s v="Current Employees"/>
    <x v="0"/>
    <x v="3"/>
    <x v="1141"/>
    <x v="1141"/>
    <x v="1"/>
    <x v="0"/>
    <x v="0"/>
    <s v="No"/>
    <s v="Y"/>
    <n v="2"/>
    <n v="-2"/>
    <n v="0"/>
    <x v="5"/>
    <x v="1"/>
    <m/>
    <n v="0"/>
    <n v="1"/>
    <n v="1318"/>
    <n v="10"/>
    <x v="2"/>
    <n v="1"/>
    <n v="4"/>
    <n v="79"/>
    <n v="3"/>
    <n v="2"/>
    <n v="2"/>
    <n v="4648"/>
    <n v="26075"/>
    <n v="8"/>
    <n v="13"/>
    <n v="3"/>
    <n v="3"/>
    <n v="80"/>
    <n v="0"/>
    <n v="4"/>
    <n v="4"/>
    <n v="0"/>
    <n v="0"/>
    <n v="0"/>
    <n v="0"/>
  </r>
  <r>
    <s v="No"/>
    <s v="Travel_Rarely"/>
    <x v="0"/>
    <s v="Current Employees"/>
    <x v="2"/>
    <x v="1"/>
    <x v="1142"/>
    <x v="1142"/>
    <x v="1"/>
    <x v="8"/>
    <x v="2"/>
    <s v="No"/>
    <s v="Y"/>
    <n v="4"/>
    <n v="-2"/>
    <n v="0"/>
    <x v="2"/>
    <x v="1"/>
    <m/>
    <n v="0"/>
    <n v="1"/>
    <n v="1239"/>
    <n v="8"/>
    <x v="0"/>
    <n v="1"/>
    <n v="3"/>
    <n v="89"/>
    <n v="3"/>
    <n v="2"/>
    <n v="2"/>
    <n v="4071"/>
    <n v="12832"/>
    <n v="2"/>
    <n v="13"/>
    <n v="3"/>
    <n v="3"/>
    <n v="80"/>
    <n v="0"/>
    <n v="19"/>
    <n v="2"/>
    <n v="10"/>
    <n v="0"/>
    <n v="4"/>
    <n v="7"/>
  </r>
  <r>
    <s v="No"/>
    <s v="Travel_Rarely"/>
    <x v="2"/>
    <s v="Current Employees"/>
    <x v="2"/>
    <x v="2"/>
    <x v="1143"/>
    <x v="1143"/>
    <x v="1"/>
    <x v="8"/>
    <x v="1"/>
    <s v="No"/>
    <s v="Y"/>
    <n v="3"/>
    <n v="-2"/>
    <n v="0"/>
    <x v="11"/>
    <x v="1"/>
    <m/>
    <n v="0"/>
    <n v="1"/>
    <n v="352"/>
    <n v="6"/>
    <x v="1"/>
    <n v="1"/>
    <n v="4"/>
    <n v="87"/>
    <n v="2"/>
    <n v="1"/>
    <n v="2"/>
    <n v="2804"/>
    <n v="15434"/>
    <n v="1"/>
    <n v="11"/>
    <n v="3"/>
    <n v="4"/>
    <n v="80"/>
    <n v="0"/>
    <n v="1"/>
    <n v="3"/>
    <n v="1"/>
    <n v="0"/>
    <n v="0"/>
    <n v="0"/>
  </r>
  <r>
    <s v="No"/>
    <s v="Travel_Rarely"/>
    <x v="2"/>
    <s v="Current Employees"/>
    <x v="2"/>
    <x v="1"/>
    <x v="1144"/>
    <x v="1144"/>
    <x v="1"/>
    <x v="8"/>
    <x v="0"/>
    <s v="No"/>
    <s v="Y"/>
    <n v="3"/>
    <n v="-2"/>
    <n v="0"/>
    <x v="11"/>
    <x v="1"/>
    <m/>
    <n v="0"/>
    <n v="1"/>
    <n v="332"/>
    <n v="17"/>
    <x v="3"/>
    <n v="1"/>
    <n v="2"/>
    <n v="51"/>
    <n v="2"/>
    <n v="3"/>
    <n v="3"/>
    <n v="7988"/>
    <n v="9769"/>
    <n v="1"/>
    <n v="13"/>
    <n v="3"/>
    <n v="1"/>
    <n v="80"/>
    <n v="0"/>
    <n v="10"/>
    <n v="2"/>
    <n v="10"/>
    <n v="9"/>
    <n v="0"/>
    <n v="9"/>
  </r>
  <r>
    <s v="No"/>
    <s v="Travel_Rarely"/>
    <x v="0"/>
    <s v="Current Employees"/>
    <x v="2"/>
    <x v="0"/>
    <x v="1145"/>
    <x v="1145"/>
    <x v="1"/>
    <x v="8"/>
    <x v="0"/>
    <s v="No"/>
    <s v="Y"/>
    <n v="5"/>
    <n v="-2"/>
    <n v="0"/>
    <x v="23"/>
    <x v="1"/>
    <m/>
    <n v="0"/>
    <n v="1"/>
    <n v="244"/>
    <n v="2"/>
    <x v="3"/>
    <n v="1"/>
    <n v="2"/>
    <n v="97"/>
    <n v="3"/>
    <n v="1"/>
    <n v="4"/>
    <n v="3539"/>
    <n v="5033"/>
    <n v="0"/>
    <n v="13"/>
    <n v="3"/>
    <n v="2"/>
    <n v="80"/>
    <n v="0"/>
    <n v="10"/>
    <n v="3"/>
    <n v="9"/>
    <n v="7"/>
    <n v="1"/>
    <n v="8"/>
  </r>
  <r>
    <s v="No"/>
    <s v="Travel_Rarely"/>
    <x v="3"/>
    <s v="Current Employees"/>
    <x v="1"/>
    <x v="4"/>
    <x v="1146"/>
    <x v="1146"/>
    <x v="1"/>
    <x v="1"/>
    <x v="2"/>
    <s v="No"/>
    <s v="Y"/>
    <n v="1"/>
    <n v="-2"/>
    <n v="0"/>
    <x v="27"/>
    <x v="1"/>
    <m/>
    <n v="0"/>
    <n v="1"/>
    <n v="1441"/>
    <n v="22"/>
    <x v="3"/>
    <n v="1"/>
    <n v="4"/>
    <n v="94"/>
    <n v="2"/>
    <n v="1"/>
    <n v="4"/>
    <n v="3537"/>
    <n v="23737"/>
    <n v="5"/>
    <n v="12"/>
    <n v="3"/>
    <n v="4"/>
    <n v="80"/>
    <n v="1"/>
    <n v="8"/>
    <n v="3"/>
    <n v="4"/>
    <n v="2"/>
    <n v="1"/>
    <n v="2"/>
  </r>
  <r>
    <s v="No"/>
    <s v="Travel_Rarely"/>
    <x v="2"/>
    <s v="Current Employees"/>
    <x v="1"/>
    <x v="0"/>
    <x v="1147"/>
    <x v="1147"/>
    <x v="1"/>
    <x v="1"/>
    <x v="2"/>
    <s v="No"/>
    <s v="Y"/>
    <n v="2"/>
    <n v="-2"/>
    <n v="0"/>
    <x v="14"/>
    <x v="1"/>
    <m/>
    <n v="0"/>
    <n v="1"/>
    <n v="1423"/>
    <n v="1"/>
    <x v="3"/>
    <n v="1"/>
    <n v="1"/>
    <n v="72"/>
    <n v="2"/>
    <n v="1"/>
    <n v="3"/>
    <n v="1563"/>
    <n v="12530"/>
    <n v="1"/>
    <n v="14"/>
    <n v="3"/>
    <n v="4"/>
    <n v="80"/>
    <n v="1"/>
    <n v="1"/>
    <n v="1"/>
    <n v="1"/>
    <n v="0"/>
    <n v="0"/>
    <n v="0"/>
  </r>
  <r>
    <s v="No"/>
    <s v="Travel_Rarely"/>
    <x v="0"/>
    <s v="Current Employees"/>
    <x v="1"/>
    <x v="0"/>
    <x v="1148"/>
    <x v="1148"/>
    <x v="1"/>
    <x v="5"/>
    <x v="2"/>
    <s v="No"/>
    <s v="Y"/>
    <n v="3"/>
    <n v="-2"/>
    <n v="0"/>
    <x v="32"/>
    <x v="1"/>
    <m/>
    <n v="0"/>
    <n v="1"/>
    <n v="1137"/>
    <n v="1"/>
    <x v="2"/>
    <n v="1"/>
    <n v="1"/>
    <n v="98"/>
    <n v="3"/>
    <n v="4"/>
    <n v="3"/>
    <n v="16823"/>
    <n v="18991"/>
    <n v="2"/>
    <n v="11"/>
    <n v="3"/>
    <n v="1"/>
    <n v="80"/>
    <n v="1"/>
    <n v="22"/>
    <n v="3"/>
    <n v="19"/>
    <n v="7"/>
    <n v="11"/>
    <n v="16"/>
  </r>
  <r>
    <s v="No"/>
    <s v="Travel_Rarely"/>
    <x v="2"/>
    <s v="Current Employees"/>
    <x v="1"/>
    <x v="0"/>
    <x v="1149"/>
    <x v="1149"/>
    <x v="1"/>
    <x v="2"/>
    <x v="2"/>
    <s v="No"/>
    <s v="Y"/>
    <n v="2"/>
    <n v="-2"/>
    <n v="0"/>
    <x v="12"/>
    <x v="1"/>
    <m/>
    <n v="0"/>
    <n v="1"/>
    <n v="311"/>
    <n v="20"/>
    <x v="3"/>
    <n v="1"/>
    <n v="2"/>
    <n v="89"/>
    <n v="3"/>
    <n v="2"/>
    <n v="3"/>
    <n v="4197"/>
    <n v="18624"/>
    <n v="1"/>
    <n v="11"/>
    <n v="3"/>
    <n v="1"/>
    <n v="80"/>
    <n v="1"/>
    <n v="10"/>
    <n v="3"/>
    <n v="10"/>
    <n v="8"/>
    <n v="0"/>
    <n v="2"/>
  </r>
  <r>
    <s v="No"/>
    <s v="Travel_Rarely"/>
    <x v="0"/>
    <s v="Current Employees"/>
    <x v="1"/>
    <x v="2"/>
    <x v="1150"/>
    <x v="1150"/>
    <x v="1"/>
    <x v="2"/>
    <x v="2"/>
    <s v="No"/>
    <s v="Y"/>
    <n v="3"/>
    <n v="-2"/>
    <n v="0"/>
    <x v="22"/>
    <x v="1"/>
    <m/>
    <n v="0"/>
    <n v="1"/>
    <n v="170"/>
    <n v="3"/>
    <x v="0"/>
    <n v="1"/>
    <n v="3"/>
    <n v="76"/>
    <n v="2"/>
    <n v="2"/>
    <n v="3"/>
    <n v="3069"/>
    <n v="10302"/>
    <n v="0"/>
    <n v="15"/>
    <n v="3"/>
    <n v="4"/>
    <n v="80"/>
    <n v="1"/>
    <n v="11"/>
    <n v="3"/>
    <n v="10"/>
    <n v="8"/>
    <n v="0"/>
    <n v="7"/>
  </r>
  <r>
    <s v="No"/>
    <s v="Travel_Rarely"/>
    <x v="0"/>
    <s v="Current Employees"/>
    <x v="1"/>
    <x v="2"/>
    <x v="1151"/>
    <x v="1151"/>
    <x v="1"/>
    <x v="1"/>
    <x v="2"/>
    <s v="No"/>
    <s v="Y"/>
    <n v="3"/>
    <n v="-2"/>
    <n v="0"/>
    <x v="32"/>
    <x v="1"/>
    <m/>
    <n v="0"/>
    <n v="1"/>
    <n v="896"/>
    <n v="2"/>
    <x v="3"/>
    <n v="1"/>
    <n v="3"/>
    <n v="68"/>
    <n v="3"/>
    <n v="1"/>
    <n v="3"/>
    <n v="2345"/>
    <n v="8045"/>
    <n v="2"/>
    <n v="14"/>
    <n v="3"/>
    <n v="3"/>
    <n v="80"/>
    <n v="1"/>
    <n v="8"/>
    <n v="4"/>
    <n v="3"/>
    <n v="1"/>
    <n v="1"/>
    <n v="2"/>
  </r>
  <r>
    <s v="No"/>
    <s v="Travel_Rarely"/>
    <x v="1"/>
    <s v="Current Employees"/>
    <x v="1"/>
    <x v="0"/>
    <x v="1152"/>
    <x v="1152"/>
    <x v="1"/>
    <x v="3"/>
    <x v="2"/>
    <s v="No"/>
    <s v="Y"/>
    <n v="4"/>
    <n v="-2"/>
    <n v="0"/>
    <x v="21"/>
    <x v="1"/>
    <m/>
    <n v="0"/>
    <n v="1"/>
    <n v="706"/>
    <n v="2"/>
    <x v="0"/>
    <n v="1"/>
    <n v="4"/>
    <n v="82"/>
    <n v="3"/>
    <n v="3"/>
    <n v="4"/>
    <n v="8578"/>
    <n v="19989"/>
    <n v="3"/>
    <n v="14"/>
    <n v="3"/>
    <n v="3"/>
    <n v="80"/>
    <n v="1"/>
    <n v="12"/>
    <n v="2"/>
    <n v="9"/>
    <n v="8"/>
    <n v="4"/>
    <n v="7"/>
  </r>
  <r>
    <s v="No"/>
    <s v="Travel_Rarely"/>
    <x v="0"/>
    <s v="Current Employees"/>
    <x v="1"/>
    <x v="4"/>
    <x v="1153"/>
    <x v="1153"/>
    <x v="1"/>
    <x v="2"/>
    <x v="2"/>
    <s v="No"/>
    <s v="Y"/>
    <n v="0"/>
    <n v="-2"/>
    <n v="0"/>
    <x v="23"/>
    <x v="1"/>
    <m/>
    <n v="0"/>
    <n v="1"/>
    <n v="990"/>
    <n v="27"/>
    <x v="3"/>
    <n v="1"/>
    <n v="4"/>
    <n v="87"/>
    <n v="4"/>
    <n v="1"/>
    <n v="4"/>
    <n v="4876"/>
    <n v="5855"/>
    <n v="5"/>
    <n v="12"/>
    <n v="3"/>
    <n v="3"/>
    <n v="80"/>
    <n v="1"/>
    <n v="8"/>
    <n v="3"/>
    <n v="6"/>
    <n v="4"/>
    <n v="0"/>
    <n v="2"/>
  </r>
  <r>
    <s v="No"/>
    <s v="Travel_Rarely"/>
    <x v="0"/>
    <s v="Current Employees"/>
    <x v="1"/>
    <x v="0"/>
    <x v="1154"/>
    <x v="1154"/>
    <x v="1"/>
    <x v="1"/>
    <x v="2"/>
    <s v="No"/>
    <s v="Y"/>
    <n v="0"/>
    <n v="-2"/>
    <n v="0"/>
    <x v="8"/>
    <x v="1"/>
    <m/>
    <n v="0"/>
    <n v="1"/>
    <n v="1206"/>
    <n v="9"/>
    <x v="0"/>
    <n v="1"/>
    <n v="2"/>
    <n v="71"/>
    <n v="3"/>
    <n v="1"/>
    <n v="4"/>
    <n v="4771"/>
    <n v="14293"/>
    <n v="2"/>
    <n v="19"/>
    <n v="3"/>
    <n v="4"/>
    <n v="80"/>
    <n v="2"/>
    <n v="10"/>
    <n v="4"/>
    <n v="5"/>
    <n v="2"/>
    <n v="0"/>
    <n v="3"/>
  </r>
  <r>
    <s v="No"/>
    <s v="Travel_Rarely"/>
    <x v="3"/>
    <s v="Current Employees"/>
    <x v="1"/>
    <x v="2"/>
    <x v="1155"/>
    <x v="1155"/>
    <x v="1"/>
    <x v="7"/>
    <x v="2"/>
    <s v="No"/>
    <s v="Y"/>
    <n v="4"/>
    <n v="-2"/>
    <n v="0"/>
    <x v="27"/>
    <x v="1"/>
    <m/>
    <n v="0"/>
    <n v="1"/>
    <n v="1136"/>
    <n v="1"/>
    <x v="2"/>
    <n v="1"/>
    <n v="2"/>
    <n v="81"/>
    <n v="4"/>
    <n v="4"/>
    <n v="4"/>
    <n v="14732"/>
    <n v="12414"/>
    <n v="2"/>
    <n v="13"/>
    <n v="3"/>
    <n v="4"/>
    <n v="80"/>
    <n v="2"/>
    <n v="31"/>
    <n v="4"/>
    <n v="7"/>
    <n v="7"/>
    <n v="0"/>
    <n v="0"/>
  </r>
  <r>
    <s v="No"/>
    <s v="Travel_Rarely"/>
    <x v="1"/>
    <s v="Current Employees"/>
    <x v="1"/>
    <x v="0"/>
    <x v="1156"/>
    <x v="1156"/>
    <x v="1"/>
    <x v="4"/>
    <x v="2"/>
    <s v="No"/>
    <s v="Y"/>
    <n v="3"/>
    <n v="-2"/>
    <n v="0"/>
    <x v="1"/>
    <x v="1"/>
    <m/>
    <n v="0"/>
    <n v="1"/>
    <n v="1490"/>
    <n v="7"/>
    <x v="2"/>
    <n v="1"/>
    <n v="3"/>
    <n v="35"/>
    <n v="3"/>
    <n v="3"/>
    <n v="2"/>
    <n v="10466"/>
    <n v="20948"/>
    <n v="3"/>
    <n v="14"/>
    <n v="3"/>
    <n v="2"/>
    <n v="80"/>
    <n v="2"/>
    <n v="29"/>
    <n v="3"/>
    <n v="8"/>
    <n v="7"/>
    <n v="0"/>
    <n v="7"/>
  </r>
  <r>
    <s v="No"/>
    <s v="Travel_Rarely"/>
    <x v="2"/>
    <s v="Current Employees"/>
    <x v="1"/>
    <x v="0"/>
    <x v="1157"/>
    <x v="1157"/>
    <x v="1"/>
    <x v="4"/>
    <x v="2"/>
    <s v="No"/>
    <s v="Y"/>
    <n v="3"/>
    <n v="-2"/>
    <n v="0"/>
    <x v="11"/>
    <x v="1"/>
    <m/>
    <n v="0"/>
    <n v="1"/>
    <n v="726"/>
    <n v="29"/>
    <x v="1"/>
    <n v="1"/>
    <n v="4"/>
    <n v="93"/>
    <n v="1"/>
    <n v="2"/>
    <n v="3"/>
    <n v="6384"/>
    <n v="21143"/>
    <n v="8"/>
    <n v="17"/>
    <n v="3"/>
    <n v="4"/>
    <n v="80"/>
    <n v="2"/>
    <n v="11"/>
    <n v="3"/>
    <n v="7"/>
    <n v="0"/>
    <n v="1"/>
    <n v="6"/>
  </r>
  <r>
    <s v="No"/>
    <s v="Travel_Rarely"/>
    <x v="2"/>
    <s v="Current Employees"/>
    <x v="1"/>
    <x v="1"/>
    <x v="1158"/>
    <x v="1158"/>
    <x v="1"/>
    <x v="2"/>
    <x v="2"/>
    <s v="No"/>
    <s v="Y"/>
    <n v="3"/>
    <n v="-2"/>
    <n v="0"/>
    <x v="4"/>
    <x v="1"/>
    <m/>
    <n v="0"/>
    <n v="1"/>
    <n v="1302"/>
    <n v="19"/>
    <x v="3"/>
    <n v="1"/>
    <n v="4"/>
    <n v="67"/>
    <n v="2"/>
    <n v="1"/>
    <n v="3"/>
    <n v="4066"/>
    <n v="16290"/>
    <n v="1"/>
    <n v="11"/>
    <n v="3"/>
    <n v="1"/>
    <n v="80"/>
    <n v="2"/>
    <n v="7"/>
    <n v="3"/>
    <n v="7"/>
    <n v="7"/>
    <n v="0"/>
    <n v="7"/>
  </r>
  <r>
    <s v="No"/>
    <s v="Travel_Rarely"/>
    <x v="2"/>
    <s v="Current Employees"/>
    <x v="1"/>
    <x v="2"/>
    <x v="1159"/>
    <x v="1159"/>
    <x v="1"/>
    <x v="1"/>
    <x v="2"/>
    <s v="No"/>
    <s v="Y"/>
    <n v="4"/>
    <n v="-2"/>
    <n v="0"/>
    <x v="5"/>
    <x v="1"/>
    <m/>
    <n v="0"/>
    <n v="1"/>
    <n v="977"/>
    <n v="2"/>
    <x v="3"/>
    <n v="1"/>
    <n v="4"/>
    <n v="45"/>
    <n v="3"/>
    <n v="2"/>
    <n v="2"/>
    <n v="5470"/>
    <n v="25518"/>
    <n v="0"/>
    <n v="13"/>
    <n v="3"/>
    <n v="3"/>
    <n v="80"/>
    <n v="2"/>
    <n v="10"/>
    <n v="2"/>
    <n v="9"/>
    <n v="5"/>
    <n v="1"/>
    <n v="6"/>
  </r>
  <r>
    <s v="No"/>
    <s v="Travel_Rarely"/>
    <x v="1"/>
    <s v="Current Employees"/>
    <x v="1"/>
    <x v="4"/>
    <x v="1160"/>
    <x v="1160"/>
    <x v="1"/>
    <x v="4"/>
    <x v="2"/>
    <s v="No"/>
    <s v="Y"/>
    <n v="4"/>
    <n v="-2"/>
    <n v="0"/>
    <x v="28"/>
    <x v="1"/>
    <m/>
    <n v="0"/>
    <n v="1"/>
    <n v="538"/>
    <n v="1"/>
    <x v="2"/>
    <n v="1"/>
    <n v="4"/>
    <n v="66"/>
    <n v="3"/>
    <n v="3"/>
    <n v="4"/>
    <n v="7441"/>
    <n v="20933"/>
    <n v="1"/>
    <n v="12"/>
    <n v="3"/>
    <n v="1"/>
    <n v="80"/>
    <n v="3"/>
    <n v="10"/>
    <n v="3"/>
    <n v="10"/>
    <n v="8"/>
    <n v="7"/>
    <n v="7"/>
  </r>
  <r>
    <s v="No"/>
    <s v="Travel_Rarely"/>
    <x v="4"/>
    <s v="Current Employees"/>
    <x v="1"/>
    <x v="2"/>
    <x v="1161"/>
    <x v="1161"/>
    <x v="1"/>
    <x v="2"/>
    <x v="2"/>
    <s v="No"/>
    <s v="Y"/>
    <n v="2"/>
    <n v="-2"/>
    <n v="0"/>
    <x v="17"/>
    <x v="1"/>
    <m/>
    <n v="0"/>
    <n v="1"/>
    <n v="506"/>
    <n v="29"/>
    <x v="1"/>
    <n v="1"/>
    <n v="2"/>
    <n v="91"/>
    <n v="3"/>
    <n v="1"/>
    <n v="3"/>
    <n v="3907"/>
    <n v="3622"/>
    <n v="1"/>
    <n v="13"/>
    <n v="3"/>
    <n v="2"/>
    <n v="80"/>
    <n v="3"/>
    <n v="6"/>
    <n v="4"/>
    <n v="6"/>
    <n v="2"/>
    <n v="1"/>
    <n v="2"/>
  </r>
  <r>
    <s v="No"/>
    <s v="Travel_Rarely"/>
    <x v="4"/>
    <s v="Current Employees"/>
    <x v="1"/>
    <x v="4"/>
    <x v="1162"/>
    <x v="1162"/>
    <x v="1"/>
    <x v="2"/>
    <x v="2"/>
    <s v="No"/>
    <s v="Y"/>
    <n v="3"/>
    <n v="-2"/>
    <n v="0"/>
    <x v="17"/>
    <x v="1"/>
    <m/>
    <n v="0"/>
    <n v="1"/>
    <n v="350"/>
    <n v="21"/>
    <x v="0"/>
    <n v="1"/>
    <n v="4"/>
    <n v="57"/>
    <n v="2"/>
    <n v="1"/>
    <n v="4"/>
    <n v="2296"/>
    <n v="10036"/>
    <n v="0"/>
    <n v="14"/>
    <n v="3"/>
    <n v="2"/>
    <n v="80"/>
    <n v="3"/>
    <n v="2"/>
    <n v="3"/>
    <n v="1"/>
    <n v="1"/>
    <n v="0"/>
    <n v="0"/>
  </r>
  <r>
    <s v="No"/>
    <s v="Travel_Rarely"/>
    <x v="0"/>
    <s v="Current Employees"/>
    <x v="1"/>
    <x v="1"/>
    <x v="1163"/>
    <x v="1163"/>
    <x v="1"/>
    <x v="1"/>
    <x v="2"/>
    <s v="No"/>
    <s v="Y"/>
    <n v="2"/>
    <n v="-2"/>
    <n v="0"/>
    <x v="22"/>
    <x v="1"/>
    <m/>
    <n v="0"/>
    <n v="1"/>
    <n v="835"/>
    <n v="19"/>
    <x v="2"/>
    <n v="1"/>
    <n v="4"/>
    <n v="41"/>
    <n v="3"/>
    <n v="2"/>
    <n v="4"/>
    <n v="3902"/>
    <n v="5141"/>
    <n v="8"/>
    <n v="14"/>
    <n v="3"/>
    <n v="2"/>
    <n v="80"/>
    <n v="3"/>
    <n v="7"/>
    <n v="3"/>
    <n v="2"/>
    <n v="2"/>
    <n v="2"/>
    <n v="2"/>
  </r>
  <r>
    <s v="No"/>
    <s v="Travel_Rarely"/>
    <x v="0"/>
    <s v="Current Employees"/>
    <x v="1"/>
    <x v="0"/>
    <x v="1164"/>
    <x v="1164"/>
    <x v="1"/>
    <x v="5"/>
    <x v="1"/>
    <s v="No"/>
    <s v="Y"/>
    <n v="2"/>
    <n v="-2"/>
    <n v="0"/>
    <x v="19"/>
    <x v="1"/>
    <m/>
    <n v="0"/>
    <n v="1"/>
    <n v="300"/>
    <n v="2"/>
    <x v="3"/>
    <n v="1"/>
    <n v="1"/>
    <n v="56"/>
    <n v="3"/>
    <n v="5"/>
    <n v="3"/>
    <n v="18880"/>
    <n v="17312"/>
    <n v="5"/>
    <n v="11"/>
    <n v="3"/>
    <n v="1"/>
    <n v="80"/>
    <n v="0"/>
    <n v="24"/>
    <n v="2"/>
    <n v="22"/>
    <n v="6"/>
    <n v="4"/>
    <n v="14"/>
  </r>
  <r>
    <s v="No"/>
    <s v="Travel_Rarely"/>
    <x v="0"/>
    <s v="Current Employees"/>
    <x v="1"/>
    <x v="2"/>
    <x v="1165"/>
    <x v="1165"/>
    <x v="1"/>
    <x v="1"/>
    <x v="1"/>
    <s v="No"/>
    <s v="Y"/>
    <n v="2"/>
    <n v="-2"/>
    <n v="0"/>
    <x v="2"/>
    <x v="1"/>
    <m/>
    <n v="0"/>
    <n v="1"/>
    <n v="674"/>
    <n v="13"/>
    <x v="3"/>
    <n v="1"/>
    <n v="1"/>
    <n v="47"/>
    <n v="3"/>
    <n v="2"/>
    <n v="4"/>
    <n v="4285"/>
    <n v="3031"/>
    <n v="1"/>
    <n v="17"/>
    <n v="3"/>
    <n v="1"/>
    <n v="80"/>
    <n v="0"/>
    <n v="10"/>
    <n v="3"/>
    <n v="10"/>
    <n v="8"/>
    <n v="3"/>
    <n v="7"/>
  </r>
  <r>
    <s v="No"/>
    <s v="Travel_Rarely"/>
    <x v="2"/>
    <s v="Current Employees"/>
    <x v="1"/>
    <x v="0"/>
    <x v="1166"/>
    <x v="1166"/>
    <x v="1"/>
    <x v="2"/>
    <x v="1"/>
    <s v="No"/>
    <s v="Y"/>
    <n v="3"/>
    <n v="-2"/>
    <n v="0"/>
    <x v="4"/>
    <x v="1"/>
    <m/>
    <n v="0"/>
    <n v="1"/>
    <n v="1377"/>
    <n v="11"/>
    <x v="1"/>
    <n v="1"/>
    <n v="2"/>
    <n v="91"/>
    <n v="3"/>
    <n v="1"/>
    <n v="3"/>
    <n v="2099"/>
    <n v="7679"/>
    <n v="0"/>
    <n v="14"/>
    <n v="3"/>
    <n v="2"/>
    <n v="80"/>
    <n v="0"/>
    <n v="6"/>
    <n v="4"/>
    <n v="5"/>
    <n v="0"/>
    <n v="1"/>
    <n v="4"/>
  </r>
  <r>
    <s v="No"/>
    <s v="Travel_Rarely"/>
    <x v="0"/>
    <s v="Current Employees"/>
    <x v="1"/>
    <x v="0"/>
    <x v="1167"/>
    <x v="1167"/>
    <x v="1"/>
    <x v="1"/>
    <x v="1"/>
    <s v="No"/>
    <s v="Y"/>
    <n v="2"/>
    <n v="-2"/>
    <n v="0"/>
    <x v="10"/>
    <x v="1"/>
    <m/>
    <n v="0"/>
    <n v="1"/>
    <n v="819"/>
    <n v="18"/>
    <x v="4"/>
    <n v="1"/>
    <n v="2"/>
    <n v="48"/>
    <n v="4"/>
    <n v="2"/>
    <n v="3"/>
    <n v="5208"/>
    <n v="26312"/>
    <n v="1"/>
    <n v="11"/>
    <n v="3"/>
    <n v="4"/>
    <n v="80"/>
    <n v="0"/>
    <n v="16"/>
    <n v="3"/>
    <n v="16"/>
    <n v="15"/>
    <n v="1"/>
    <n v="10"/>
  </r>
  <r>
    <s v="No"/>
    <s v="Travel_Rarely"/>
    <x v="2"/>
    <s v="Current Employees"/>
    <x v="1"/>
    <x v="2"/>
    <x v="1168"/>
    <x v="1168"/>
    <x v="1"/>
    <x v="2"/>
    <x v="1"/>
    <s v="No"/>
    <s v="Y"/>
    <n v="3"/>
    <n v="-2"/>
    <n v="0"/>
    <x v="13"/>
    <x v="1"/>
    <m/>
    <n v="0"/>
    <n v="1"/>
    <n v="628"/>
    <n v="8"/>
    <x v="3"/>
    <n v="1"/>
    <n v="2"/>
    <n v="82"/>
    <n v="4"/>
    <n v="2"/>
    <n v="3"/>
    <n v="4404"/>
    <n v="10228"/>
    <n v="2"/>
    <n v="12"/>
    <n v="3"/>
    <n v="1"/>
    <n v="80"/>
    <n v="0"/>
    <n v="6"/>
    <n v="4"/>
    <n v="4"/>
    <n v="3"/>
    <n v="1"/>
    <n v="2"/>
  </r>
  <r>
    <s v="No"/>
    <s v="Travel_Rarely"/>
    <x v="1"/>
    <s v="Current Employees"/>
    <x v="1"/>
    <x v="2"/>
    <x v="1169"/>
    <x v="1169"/>
    <x v="1"/>
    <x v="4"/>
    <x v="1"/>
    <s v="No"/>
    <s v="Y"/>
    <n v="2"/>
    <n v="-2"/>
    <n v="0"/>
    <x v="16"/>
    <x v="1"/>
    <m/>
    <n v="0"/>
    <n v="1"/>
    <n v="1395"/>
    <n v="24"/>
    <x v="2"/>
    <n v="1"/>
    <n v="2"/>
    <n v="48"/>
    <n v="4"/>
    <n v="3"/>
    <n v="4"/>
    <n v="7005"/>
    <n v="3458"/>
    <n v="3"/>
    <n v="15"/>
    <n v="3"/>
    <n v="3"/>
    <n v="80"/>
    <n v="0"/>
    <n v="11"/>
    <n v="3"/>
    <n v="4"/>
    <n v="3"/>
    <n v="1"/>
    <n v="2"/>
  </r>
  <r>
    <s v="No"/>
    <s v="Travel_Rarely"/>
    <x v="1"/>
    <s v="Current Employees"/>
    <x v="1"/>
    <x v="0"/>
    <x v="1170"/>
    <x v="1170"/>
    <x v="1"/>
    <x v="7"/>
    <x v="1"/>
    <s v="No"/>
    <s v="Y"/>
    <n v="3"/>
    <n v="-2"/>
    <n v="0"/>
    <x v="26"/>
    <x v="1"/>
    <m/>
    <n v="0"/>
    <n v="1"/>
    <n v="1224"/>
    <n v="10"/>
    <x v="3"/>
    <n v="1"/>
    <n v="4"/>
    <n v="91"/>
    <n v="2"/>
    <n v="5"/>
    <n v="2"/>
    <n v="19665"/>
    <n v="13583"/>
    <n v="4"/>
    <n v="12"/>
    <n v="3"/>
    <n v="4"/>
    <n v="80"/>
    <n v="0"/>
    <n v="29"/>
    <n v="3"/>
    <n v="22"/>
    <n v="10"/>
    <n v="12"/>
    <n v="9"/>
  </r>
  <r>
    <s v="No"/>
    <s v="Travel_Rarely"/>
    <x v="2"/>
    <s v="Current Employees"/>
    <x v="1"/>
    <x v="2"/>
    <x v="1171"/>
    <x v="1171"/>
    <x v="1"/>
    <x v="2"/>
    <x v="1"/>
    <s v="No"/>
    <s v="Y"/>
    <n v="6"/>
    <n v="-2"/>
    <n v="0"/>
    <x v="7"/>
    <x v="1"/>
    <m/>
    <n v="0"/>
    <n v="1"/>
    <n v="911"/>
    <n v="1"/>
    <x v="0"/>
    <n v="1"/>
    <n v="4"/>
    <n v="76"/>
    <n v="3"/>
    <n v="1"/>
    <n v="2"/>
    <n v="3748"/>
    <n v="4077"/>
    <n v="1"/>
    <n v="13"/>
    <n v="3"/>
    <n v="3"/>
    <n v="80"/>
    <n v="0"/>
    <n v="12"/>
    <n v="2"/>
    <n v="12"/>
    <n v="8"/>
    <n v="1"/>
    <n v="7"/>
  </r>
  <r>
    <s v="No"/>
    <s v="Travel_Rarely"/>
    <x v="2"/>
    <s v="Current Employees"/>
    <x v="1"/>
    <x v="0"/>
    <x v="1172"/>
    <x v="1172"/>
    <x v="1"/>
    <x v="4"/>
    <x v="1"/>
    <s v="No"/>
    <s v="Y"/>
    <n v="5"/>
    <n v="-2"/>
    <n v="0"/>
    <x v="11"/>
    <x v="1"/>
    <m/>
    <n v="0"/>
    <n v="1"/>
    <n v="136"/>
    <n v="1"/>
    <x v="3"/>
    <n v="1"/>
    <n v="1"/>
    <n v="89"/>
    <n v="3"/>
    <n v="2"/>
    <n v="3"/>
    <n v="5373"/>
    <n v="6225"/>
    <n v="0"/>
    <n v="12"/>
    <n v="3"/>
    <n v="1"/>
    <n v="80"/>
    <n v="1"/>
    <n v="6"/>
    <n v="2"/>
    <n v="5"/>
    <n v="3"/>
    <n v="0"/>
    <n v="2"/>
  </r>
  <r>
    <s v="No"/>
    <s v="Travel_Rarely"/>
    <x v="1"/>
    <s v="Current Employees"/>
    <x v="1"/>
    <x v="4"/>
    <x v="1173"/>
    <x v="1173"/>
    <x v="1"/>
    <x v="4"/>
    <x v="1"/>
    <s v="No"/>
    <s v="Y"/>
    <n v="0"/>
    <n v="-2"/>
    <n v="0"/>
    <x v="1"/>
    <x v="1"/>
    <m/>
    <n v="0"/>
    <n v="1"/>
    <n v="1495"/>
    <n v="5"/>
    <x v="2"/>
    <n v="1"/>
    <n v="4"/>
    <n v="96"/>
    <n v="3"/>
    <n v="2"/>
    <n v="4"/>
    <n v="6651"/>
    <n v="21534"/>
    <n v="2"/>
    <n v="14"/>
    <n v="3"/>
    <n v="2"/>
    <n v="80"/>
    <n v="1"/>
    <n v="20"/>
    <n v="2"/>
    <n v="3"/>
    <n v="2"/>
    <n v="1"/>
    <n v="2"/>
  </r>
  <r>
    <s v="No"/>
    <s v="Travel_Rarely"/>
    <x v="0"/>
    <s v="Current Employees"/>
    <x v="1"/>
    <x v="0"/>
    <x v="1174"/>
    <x v="1174"/>
    <x v="1"/>
    <x v="4"/>
    <x v="1"/>
    <s v="No"/>
    <s v="Y"/>
    <n v="1"/>
    <n v="-2"/>
    <n v="0"/>
    <x v="23"/>
    <x v="1"/>
    <m/>
    <n v="0"/>
    <n v="1"/>
    <n v="574"/>
    <n v="11"/>
    <x v="3"/>
    <n v="1"/>
    <n v="1"/>
    <n v="30"/>
    <n v="3"/>
    <n v="3"/>
    <n v="3"/>
    <n v="7510"/>
    <n v="16873"/>
    <n v="1"/>
    <n v="17"/>
    <n v="3"/>
    <n v="2"/>
    <n v="80"/>
    <n v="1"/>
    <n v="10"/>
    <n v="3"/>
    <n v="10"/>
    <n v="9"/>
    <n v="0"/>
    <n v="9"/>
  </r>
  <r>
    <s v="No"/>
    <s v="Travel_Rarely"/>
    <x v="2"/>
    <s v="Current Employees"/>
    <x v="1"/>
    <x v="4"/>
    <x v="1175"/>
    <x v="1175"/>
    <x v="1"/>
    <x v="2"/>
    <x v="1"/>
    <s v="No"/>
    <s v="Y"/>
    <n v="2"/>
    <n v="-2"/>
    <n v="0"/>
    <x v="36"/>
    <x v="1"/>
    <m/>
    <n v="0"/>
    <n v="1"/>
    <n v="949"/>
    <n v="1"/>
    <x v="3"/>
    <n v="1"/>
    <n v="4"/>
    <n v="81"/>
    <n v="3"/>
    <n v="1"/>
    <n v="4"/>
    <n v="3229"/>
    <n v="4910"/>
    <n v="4"/>
    <n v="11"/>
    <n v="3"/>
    <n v="2"/>
    <n v="80"/>
    <n v="1"/>
    <n v="7"/>
    <n v="2"/>
    <n v="3"/>
    <n v="2"/>
    <n v="0"/>
    <n v="2"/>
  </r>
  <r>
    <s v="No"/>
    <s v="Travel_Rarely"/>
    <x v="1"/>
    <s v="Current Employees"/>
    <x v="1"/>
    <x v="4"/>
    <x v="1176"/>
    <x v="1176"/>
    <x v="1"/>
    <x v="1"/>
    <x v="1"/>
    <s v="No"/>
    <s v="Y"/>
    <n v="2"/>
    <n v="-2"/>
    <n v="0"/>
    <x v="40"/>
    <x v="1"/>
    <m/>
    <n v="0"/>
    <n v="1"/>
    <n v="465"/>
    <n v="1"/>
    <x v="3"/>
    <n v="1"/>
    <n v="4"/>
    <n v="74"/>
    <n v="3"/>
    <n v="1"/>
    <n v="4"/>
    <n v="3420"/>
    <n v="10205"/>
    <n v="7"/>
    <n v="12"/>
    <n v="3"/>
    <n v="3"/>
    <n v="80"/>
    <n v="1"/>
    <n v="17"/>
    <n v="2"/>
    <n v="6"/>
    <n v="5"/>
    <n v="1"/>
    <n v="2"/>
  </r>
  <r>
    <s v="No"/>
    <s v="Travel_Rarely"/>
    <x v="0"/>
    <s v="Current Employees"/>
    <x v="1"/>
    <x v="2"/>
    <x v="1177"/>
    <x v="1177"/>
    <x v="1"/>
    <x v="2"/>
    <x v="1"/>
    <s v="No"/>
    <s v="Y"/>
    <n v="2"/>
    <n v="-2"/>
    <n v="0"/>
    <x v="10"/>
    <x v="1"/>
    <m/>
    <n v="0"/>
    <n v="1"/>
    <n v="185"/>
    <n v="23"/>
    <x v="2"/>
    <n v="1"/>
    <n v="2"/>
    <n v="91"/>
    <n v="1"/>
    <n v="1"/>
    <n v="3"/>
    <n v="2705"/>
    <n v="9696"/>
    <n v="0"/>
    <n v="16"/>
    <n v="3"/>
    <n v="2"/>
    <n v="80"/>
    <n v="1"/>
    <n v="6"/>
    <n v="4"/>
    <n v="5"/>
    <n v="4"/>
    <n v="0"/>
    <n v="3"/>
  </r>
  <r>
    <s v="No"/>
    <s v="Travel_Rarely"/>
    <x v="2"/>
    <s v="Current Employees"/>
    <x v="1"/>
    <x v="2"/>
    <x v="1178"/>
    <x v="1178"/>
    <x v="1"/>
    <x v="1"/>
    <x v="1"/>
    <s v="No"/>
    <s v="Y"/>
    <n v="3"/>
    <n v="-2"/>
    <n v="0"/>
    <x v="7"/>
    <x v="1"/>
    <m/>
    <n v="0"/>
    <n v="1"/>
    <n v="241"/>
    <n v="7"/>
    <x v="3"/>
    <n v="1"/>
    <n v="2"/>
    <n v="48"/>
    <n v="2"/>
    <n v="1"/>
    <n v="2"/>
    <n v="2141"/>
    <n v="5348"/>
    <n v="1"/>
    <n v="12"/>
    <n v="3"/>
    <n v="2"/>
    <n v="80"/>
    <n v="1"/>
    <n v="6"/>
    <n v="2"/>
    <n v="6"/>
    <n v="4"/>
    <n v="1"/>
    <n v="1"/>
  </r>
  <r>
    <s v="No"/>
    <s v="Travel_Rarely"/>
    <x v="2"/>
    <s v="Current Employees"/>
    <x v="1"/>
    <x v="2"/>
    <x v="1179"/>
    <x v="1179"/>
    <x v="1"/>
    <x v="2"/>
    <x v="1"/>
    <s v="No"/>
    <s v="Y"/>
    <n v="3"/>
    <n v="-2"/>
    <n v="0"/>
    <x v="13"/>
    <x v="1"/>
    <m/>
    <n v="0"/>
    <n v="1"/>
    <n v="1157"/>
    <n v="5"/>
    <x v="0"/>
    <n v="1"/>
    <n v="2"/>
    <n v="57"/>
    <n v="2"/>
    <n v="2"/>
    <n v="4"/>
    <n v="3986"/>
    <n v="11912"/>
    <n v="1"/>
    <n v="14"/>
    <n v="3"/>
    <n v="3"/>
    <n v="80"/>
    <n v="1"/>
    <n v="15"/>
    <n v="4"/>
    <n v="15"/>
    <n v="10"/>
    <n v="4"/>
    <n v="13"/>
  </r>
  <r>
    <s v="No"/>
    <s v="Travel_Rarely"/>
    <x v="2"/>
    <s v="Current Employees"/>
    <x v="1"/>
    <x v="4"/>
    <x v="1180"/>
    <x v="1180"/>
    <x v="1"/>
    <x v="1"/>
    <x v="1"/>
    <s v="No"/>
    <s v="Y"/>
    <n v="3"/>
    <n v="-2"/>
    <n v="0"/>
    <x v="4"/>
    <x v="1"/>
    <m/>
    <n v="0"/>
    <n v="1"/>
    <n v="1354"/>
    <n v="2"/>
    <x v="2"/>
    <n v="1"/>
    <n v="4"/>
    <n v="41"/>
    <n v="3"/>
    <n v="1"/>
    <n v="4"/>
    <n v="2226"/>
    <n v="6073"/>
    <n v="1"/>
    <n v="11"/>
    <n v="3"/>
    <n v="3"/>
    <n v="80"/>
    <n v="1"/>
    <n v="6"/>
    <n v="2"/>
    <n v="5"/>
    <n v="3"/>
    <n v="1"/>
    <n v="2"/>
  </r>
  <r>
    <s v="No"/>
    <s v="Travel_Rarely"/>
    <x v="2"/>
    <s v="Current Employees"/>
    <x v="1"/>
    <x v="0"/>
    <x v="1181"/>
    <x v="1181"/>
    <x v="1"/>
    <x v="2"/>
    <x v="1"/>
    <s v="No"/>
    <s v="Y"/>
    <n v="2"/>
    <n v="-2"/>
    <n v="0"/>
    <x v="12"/>
    <x v="1"/>
    <m/>
    <n v="0"/>
    <n v="1"/>
    <n v="741"/>
    <n v="2"/>
    <x v="2"/>
    <n v="1"/>
    <n v="2"/>
    <n v="69"/>
    <n v="3"/>
    <n v="1"/>
    <n v="3"/>
    <n v="3477"/>
    <n v="18103"/>
    <n v="1"/>
    <n v="14"/>
    <n v="3"/>
    <n v="4"/>
    <n v="80"/>
    <n v="1"/>
    <n v="6"/>
    <n v="4"/>
    <n v="5"/>
    <n v="2"/>
    <n v="0"/>
    <n v="3"/>
  </r>
  <r>
    <s v="No"/>
    <s v="Travel_Rarely"/>
    <x v="2"/>
    <s v="Current Employees"/>
    <x v="1"/>
    <x v="0"/>
    <x v="1182"/>
    <x v="1182"/>
    <x v="1"/>
    <x v="1"/>
    <x v="1"/>
    <s v="No"/>
    <s v="Y"/>
    <n v="2"/>
    <n v="-2"/>
    <n v="0"/>
    <x v="7"/>
    <x v="1"/>
    <m/>
    <n v="0"/>
    <n v="1"/>
    <n v="793"/>
    <n v="16"/>
    <x v="1"/>
    <n v="1"/>
    <n v="2"/>
    <n v="33"/>
    <n v="3"/>
    <n v="1"/>
    <n v="4"/>
    <n v="2862"/>
    <n v="3811"/>
    <n v="1"/>
    <n v="12"/>
    <n v="3"/>
    <n v="2"/>
    <n v="80"/>
    <n v="1"/>
    <n v="10"/>
    <n v="2"/>
    <n v="10"/>
    <n v="0"/>
    <n v="0"/>
    <n v="8"/>
  </r>
  <r>
    <s v="No"/>
    <s v="Travel_Rarely"/>
    <x v="2"/>
    <s v="Current Employees"/>
    <x v="1"/>
    <x v="0"/>
    <x v="1183"/>
    <x v="1183"/>
    <x v="1"/>
    <x v="1"/>
    <x v="1"/>
    <s v="No"/>
    <s v="Y"/>
    <n v="3"/>
    <n v="-2"/>
    <n v="0"/>
    <x v="13"/>
    <x v="1"/>
    <m/>
    <n v="0"/>
    <n v="1"/>
    <n v="1351"/>
    <n v="1"/>
    <x v="2"/>
    <n v="1"/>
    <n v="2"/>
    <n v="45"/>
    <n v="3"/>
    <n v="2"/>
    <n v="4"/>
    <n v="5484"/>
    <n v="13008"/>
    <n v="9"/>
    <n v="17"/>
    <n v="3"/>
    <n v="2"/>
    <n v="80"/>
    <n v="1"/>
    <n v="9"/>
    <n v="2"/>
    <n v="2"/>
    <n v="2"/>
    <n v="2"/>
    <n v="1"/>
  </r>
  <r>
    <s v="No"/>
    <s v="Travel_Rarely"/>
    <x v="0"/>
    <s v="Current Employees"/>
    <x v="1"/>
    <x v="0"/>
    <x v="1184"/>
    <x v="1184"/>
    <x v="1"/>
    <x v="4"/>
    <x v="1"/>
    <s v="No"/>
    <s v="Y"/>
    <n v="5"/>
    <n v="-2"/>
    <n v="0"/>
    <x v="20"/>
    <x v="1"/>
    <m/>
    <n v="0"/>
    <n v="1"/>
    <n v="170"/>
    <n v="1"/>
    <x v="2"/>
    <n v="1"/>
    <n v="2"/>
    <n v="78"/>
    <n v="4"/>
    <n v="2"/>
    <n v="3"/>
    <n v="5033"/>
    <n v="9364"/>
    <n v="2"/>
    <n v="15"/>
    <n v="3"/>
    <n v="4"/>
    <n v="80"/>
    <n v="1"/>
    <n v="10"/>
    <n v="3"/>
    <n v="2"/>
    <n v="0"/>
    <n v="2"/>
    <n v="2"/>
  </r>
  <r>
    <s v="No"/>
    <s v="Travel_Rarely"/>
    <x v="0"/>
    <s v="Current Employees"/>
    <x v="1"/>
    <x v="2"/>
    <x v="1185"/>
    <x v="1185"/>
    <x v="1"/>
    <x v="2"/>
    <x v="1"/>
    <s v="No"/>
    <s v="Y"/>
    <n v="3"/>
    <n v="-2"/>
    <n v="0"/>
    <x v="19"/>
    <x v="1"/>
    <m/>
    <n v="0"/>
    <n v="1"/>
    <n v="1210"/>
    <n v="2"/>
    <x v="3"/>
    <n v="1"/>
    <n v="3"/>
    <n v="68"/>
    <n v="2"/>
    <n v="1"/>
    <n v="2"/>
    <n v="4841"/>
    <n v="24052"/>
    <n v="4"/>
    <n v="14"/>
    <n v="3"/>
    <n v="2"/>
    <n v="80"/>
    <n v="1"/>
    <n v="4"/>
    <n v="3"/>
    <n v="1"/>
    <n v="0"/>
    <n v="0"/>
    <n v="0"/>
  </r>
  <r>
    <s v="No"/>
    <s v="Travel_Rarely"/>
    <x v="0"/>
    <s v="Current Employees"/>
    <x v="1"/>
    <x v="0"/>
    <x v="1186"/>
    <x v="1186"/>
    <x v="1"/>
    <x v="2"/>
    <x v="1"/>
    <s v="No"/>
    <s v="Y"/>
    <n v="5"/>
    <n v="-2"/>
    <n v="0"/>
    <x v="10"/>
    <x v="1"/>
    <m/>
    <n v="0"/>
    <n v="1"/>
    <n v="1349"/>
    <n v="7"/>
    <x v="0"/>
    <n v="1"/>
    <n v="3"/>
    <n v="63"/>
    <n v="2"/>
    <n v="1"/>
    <n v="4"/>
    <n v="2690"/>
    <n v="7713"/>
    <n v="1"/>
    <n v="18"/>
    <n v="3"/>
    <n v="4"/>
    <n v="80"/>
    <n v="1"/>
    <n v="1"/>
    <n v="2"/>
    <n v="1"/>
    <n v="0"/>
    <n v="0"/>
    <n v="1"/>
  </r>
  <r>
    <s v="No"/>
    <s v="Travel_Rarely"/>
    <x v="0"/>
    <s v="Current Employees"/>
    <x v="1"/>
    <x v="2"/>
    <x v="1187"/>
    <x v="1187"/>
    <x v="1"/>
    <x v="7"/>
    <x v="1"/>
    <s v="No"/>
    <s v="Y"/>
    <n v="3"/>
    <n v="-2"/>
    <n v="0"/>
    <x v="19"/>
    <x v="1"/>
    <m/>
    <n v="0"/>
    <n v="1"/>
    <n v="1396"/>
    <n v="6"/>
    <x v="3"/>
    <n v="1"/>
    <n v="3"/>
    <n v="83"/>
    <n v="3"/>
    <n v="3"/>
    <n v="3"/>
    <n v="13348"/>
    <n v="14842"/>
    <n v="9"/>
    <n v="13"/>
    <n v="3"/>
    <n v="2"/>
    <n v="80"/>
    <n v="1"/>
    <n v="18"/>
    <n v="4"/>
    <n v="13"/>
    <n v="7"/>
    <n v="5"/>
    <n v="7"/>
  </r>
  <r>
    <s v="No"/>
    <s v="Travel_Rarely"/>
    <x v="2"/>
    <s v="Current Employees"/>
    <x v="1"/>
    <x v="0"/>
    <x v="1188"/>
    <x v="1188"/>
    <x v="1"/>
    <x v="1"/>
    <x v="1"/>
    <s v="No"/>
    <s v="Y"/>
    <n v="6"/>
    <n v="-2"/>
    <n v="0"/>
    <x v="14"/>
    <x v="1"/>
    <m/>
    <n v="0"/>
    <n v="1"/>
    <n v="1181"/>
    <n v="1"/>
    <x v="3"/>
    <n v="1"/>
    <n v="3"/>
    <n v="82"/>
    <n v="3"/>
    <n v="1"/>
    <n v="4"/>
    <n v="2044"/>
    <n v="5531"/>
    <n v="1"/>
    <n v="11"/>
    <n v="3"/>
    <n v="3"/>
    <n v="80"/>
    <n v="1"/>
    <n v="5"/>
    <n v="4"/>
    <n v="5"/>
    <n v="3"/>
    <n v="0"/>
    <n v="3"/>
  </r>
  <r>
    <s v="No"/>
    <s v="Travel_Rarely"/>
    <x v="2"/>
    <s v="Current Employees"/>
    <x v="1"/>
    <x v="0"/>
    <x v="1189"/>
    <x v="1189"/>
    <x v="1"/>
    <x v="4"/>
    <x v="1"/>
    <s v="No"/>
    <s v="Y"/>
    <n v="3"/>
    <n v="-2"/>
    <n v="0"/>
    <x v="7"/>
    <x v="1"/>
    <m/>
    <n v="0"/>
    <n v="1"/>
    <n v="305"/>
    <n v="16"/>
    <x v="3"/>
    <n v="1"/>
    <n v="3"/>
    <n v="58"/>
    <n v="4"/>
    <n v="2"/>
    <n v="3"/>
    <n v="5294"/>
    <n v="9128"/>
    <n v="3"/>
    <n v="16"/>
    <n v="3"/>
    <n v="3"/>
    <n v="80"/>
    <n v="1"/>
    <n v="10"/>
    <n v="3"/>
    <n v="7"/>
    <n v="0"/>
    <n v="1"/>
    <n v="7"/>
  </r>
  <r>
    <s v="No"/>
    <s v="Travel_Rarely"/>
    <x v="4"/>
    <s v="Current Employees"/>
    <x v="1"/>
    <x v="2"/>
    <x v="1190"/>
    <x v="1190"/>
    <x v="1"/>
    <x v="1"/>
    <x v="1"/>
    <s v="No"/>
    <s v="Y"/>
    <n v="1"/>
    <n v="-2"/>
    <n v="0"/>
    <x v="17"/>
    <x v="1"/>
    <m/>
    <n v="0"/>
    <n v="1"/>
    <n v="581"/>
    <n v="9"/>
    <x v="3"/>
    <n v="1"/>
    <n v="3"/>
    <n v="62"/>
    <n v="4"/>
    <n v="1"/>
    <n v="3"/>
    <n v="4401"/>
    <n v="17616"/>
    <n v="1"/>
    <n v="16"/>
    <n v="3"/>
    <n v="4"/>
    <n v="80"/>
    <n v="1"/>
    <n v="5"/>
    <n v="3"/>
    <n v="5"/>
    <n v="3"/>
    <n v="0"/>
    <n v="4"/>
  </r>
  <r>
    <s v="No"/>
    <s v="Travel_Rarely"/>
    <x v="0"/>
    <s v="Current Employees"/>
    <x v="1"/>
    <x v="2"/>
    <x v="1191"/>
    <x v="1191"/>
    <x v="1"/>
    <x v="4"/>
    <x v="1"/>
    <s v="No"/>
    <s v="Y"/>
    <n v="5"/>
    <n v="-2"/>
    <n v="0"/>
    <x v="22"/>
    <x v="1"/>
    <m/>
    <n v="0"/>
    <n v="1"/>
    <n v="613"/>
    <n v="6"/>
    <x v="1"/>
    <n v="1"/>
    <n v="4"/>
    <n v="42"/>
    <n v="2"/>
    <n v="3"/>
    <n v="3"/>
    <n v="9991"/>
    <n v="21457"/>
    <n v="4"/>
    <n v="15"/>
    <n v="3"/>
    <n v="1"/>
    <n v="80"/>
    <n v="1"/>
    <n v="9"/>
    <n v="3"/>
    <n v="7"/>
    <n v="7"/>
    <n v="1"/>
    <n v="7"/>
  </r>
  <r>
    <s v="No"/>
    <s v="Travel_Rarely"/>
    <x v="0"/>
    <s v="Current Employees"/>
    <x v="1"/>
    <x v="0"/>
    <x v="1192"/>
    <x v="1192"/>
    <x v="1"/>
    <x v="7"/>
    <x v="1"/>
    <s v="No"/>
    <s v="Y"/>
    <n v="1"/>
    <n v="-2"/>
    <n v="0"/>
    <x v="20"/>
    <x v="1"/>
    <m/>
    <n v="0"/>
    <n v="1"/>
    <n v="136"/>
    <n v="28"/>
    <x v="3"/>
    <n v="1"/>
    <n v="4"/>
    <n v="32"/>
    <n v="3"/>
    <n v="4"/>
    <n v="3"/>
    <n v="16328"/>
    <n v="22074"/>
    <n v="3"/>
    <n v="13"/>
    <n v="3"/>
    <n v="3"/>
    <n v="80"/>
    <n v="1"/>
    <n v="24"/>
    <n v="4"/>
    <n v="20"/>
    <n v="6"/>
    <n v="14"/>
    <n v="17"/>
  </r>
  <r>
    <s v="No"/>
    <s v="Travel_Rarely"/>
    <x v="0"/>
    <s v="Current Employees"/>
    <x v="1"/>
    <x v="0"/>
    <x v="1193"/>
    <x v="1193"/>
    <x v="1"/>
    <x v="3"/>
    <x v="1"/>
    <s v="No"/>
    <s v="Y"/>
    <n v="3"/>
    <n v="-2"/>
    <n v="0"/>
    <x v="10"/>
    <x v="1"/>
    <m/>
    <n v="0"/>
    <n v="1"/>
    <n v="1370"/>
    <n v="27"/>
    <x v="2"/>
    <n v="1"/>
    <n v="4"/>
    <n v="49"/>
    <n v="3"/>
    <n v="2"/>
    <n v="3"/>
    <n v="6883"/>
    <n v="5151"/>
    <n v="2"/>
    <n v="16"/>
    <n v="3"/>
    <n v="2"/>
    <n v="80"/>
    <n v="1"/>
    <n v="17"/>
    <n v="3"/>
    <n v="7"/>
    <n v="7"/>
    <n v="0"/>
    <n v="7"/>
  </r>
  <r>
    <s v="No"/>
    <s v="Travel_Rarely"/>
    <x v="2"/>
    <s v="Current Employees"/>
    <x v="1"/>
    <x v="0"/>
    <x v="1194"/>
    <x v="1194"/>
    <x v="1"/>
    <x v="1"/>
    <x v="1"/>
    <s v="No"/>
    <s v="Y"/>
    <n v="1"/>
    <n v="-2"/>
    <n v="0"/>
    <x v="3"/>
    <x v="1"/>
    <m/>
    <n v="0"/>
    <n v="1"/>
    <n v="867"/>
    <n v="8"/>
    <x v="2"/>
    <n v="1"/>
    <n v="4"/>
    <n v="90"/>
    <n v="4"/>
    <n v="1"/>
    <n v="3"/>
    <n v="3143"/>
    <n v="6076"/>
    <n v="6"/>
    <n v="19"/>
    <n v="3"/>
    <n v="2"/>
    <n v="80"/>
    <n v="1"/>
    <n v="14"/>
    <n v="3"/>
    <n v="10"/>
    <n v="8"/>
    <n v="7"/>
    <n v="6"/>
  </r>
  <r>
    <s v="No"/>
    <s v="Travel_Rarely"/>
    <x v="4"/>
    <s v="Current Employees"/>
    <x v="1"/>
    <x v="4"/>
    <x v="1195"/>
    <x v="1195"/>
    <x v="1"/>
    <x v="1"/>
    <x v="1"/>
    <s v="No"/>
    <s v="Y"/>
    <n v="2"/>
    <n v="-2"/>
    <n v="0"/>
    <x v="30"/>
    <x v="1"/>
    <m/>
    <n v="0"/>
    <n v="1"/>
    <n v="977"/>
    <n v="10"/>
    <x v="3"/>
    <n v="1"/>
    <n v="4"/>
    <n v="45"/>
    <n v="4"/>
    <n v="1"/>
    <n v="4"/>
    <n v="2073"/>
    <n v="12826"/>
    <n v="2"/>
    <n v="16"/>
    <n v="3"/>
    <n v="4"/>
    <n v="80"/>
    <n v="1"/>
    <n v="4"/>
    <n v="3"/>
    <n v="2"/>
    <n v="2"/>
    <n v="2"/>
    <n v="2"/>
  </r>
  <r>
    <s v="No"/>
    <s v="Travel_Rarely"/>
    <x v="0"/>
    <s v="Current Employees"/>
    <x v="1"/>
    <x v="0"/>
    <x v="1196"/>
    <x v="1196"/>
    <x v="1"/>
    <x v="4"/>
    <x v="1"/>
    <s v="No"/>
    <s v="Y"/>
    <n v="2"/>
    <n v="-2"/>
    <n v="0"/>
    <x v="9"/>
    <x v="1"/>
    <m/>
    <n v="0"/>
    <n v="1"/>
    <n v="1351"/>
    <n v="26"/>
    <x v="2"/>
    <n v="1"/>
    <n v="1"/>
    <n v="80"/>
    <n v="3"/>
    <n v="2"/>
    <n v="3"/>
    <n v="5347"/>
    <n v="7419"/>
    <n v="6"/>
    <n v="14"/>
    <n v="3"/>
    <n v="2"/>
    <n v="80"/>
    <n v="2"/>
    <n v="10"/>
    <n v="2"/>
    <n v="3"/>
    <n v="2"/>
    <n v="0"/>
    <n v="2"/>
  </r>
  <r>
    <s v="No"/>
    <s v="Travel_Rarely"/>
    <x v="0"/>
    <s v="Current Employees"/>
    <x v="1"/>
    <x v="0"/>
    <x v="1197"/>
    <x v="1197"/>
    <x v="1"/>
    <x v="2"/>
    <x v="1"/>
    <s v="No"/>
    <s v="Y"/>
    <n v="3"/>
    <n v="-2"/>
    <n v="0"/>
    <x v="32"/>
    <x v="1"/>
    <m/>
    <n v="0"/>
    <n v="1"/>
    <n v="543"/>
    <n v="1"/>
    <x v="2"/>
    <n v="1"/>
    <n v="1"/>
    <n v="83"/>
    <n v="3"/>
    <n v="1"/>
    <n v="4"/>
    <n v="2406"/>
    <n v="4060"/>
    <n v="8"/>
    <n v="19"/>
    <n v="3"/>
    <n v="3"/>
    <n v="80"/>
    <n v="2"/>
    <n v="8"/>
    <n v="2"/>
    <n v="1"/>
    <n v="0"/>
    <n v="0"/>
    <n v="0"/>
  </r>
  <r>
    <s v="No"/>
    <s v="Travel_Rarely"/>
    <x v="0"/>
    <s v="Current Employees"/>
    <x v="1"/>
    <x v="2"/>
    <x v="1198"/>
    <x v="1198"/>
    <x v="1"/>
    <x v="4"/>
    <x v="1"/>
    <s v="No"/>
    <s v="Y"/>
    <n v="2"/>
    <n v="-2"/>
    <n v="0"/>
    <x v="19"/>
    <x v="1"/>
    <m/>
    <n v="0"/>
    <n v="1"/>
    <n v="1128"/>
    <n v="13"/>
    <x v="3"/>
    <n v="1"/>
    <n v="2"/>
    <n v="95"/>
    <n v="4"/>
    <n v="2"/>
    <n v="3"/>
    <n v="5538"/>
    <n v="5696"/>
    <n v="5"/>
    <n v="18"/>
    <n v="3"/>
    <n v="3"/>
    <n v="80"/>
    <n v="2"/>
    <n v="10"/>
    <n v="2"/>
    <n v="0"/>
    <n v="0"/>
    <n v="0"/>
    <n v="0"/>
  </r>
  <r>
    <s v="No"/>
    <s v="Travel_Rarely"/>
    <x v="0"/>
    <s v="Current Employees"/>
    <x v="1"/>
    <x v="0"/>
    <x v="1199"/>
    <x v="1199"/>
    <x v="1"/>
    <x v="2"/>
    <x v="1"/>
    <s v="No"/>
    <s v="Y"/>
    <n v="3"/>
    <n v="-2"/>
    <n v="0"/>
    <x v="10"/>
    <x v="1"/>
    <m/>
    <n v="0"/>
    <n v="1"/>
    <n v="750"/>
    <n v="28"/>
    <x v="3"/>
    <n v="1"/>
    <n v="2"/>
    <n v="46"/>
    <n v="4"/>
    <n v="2"/>
    <n v="3"/>
    <n v="3407"/>
    <n v="25348"/>
    <n v="1"/>
    <n v="17"/>
    <n v="3"/>
    <n v="4"/>
    <n v="80"/>
    <n v="2"/>
    <n v="10"/>
    <n v="2"/>
    <n v="10"/>
    <n v="9"/>
    <n v="6"/>
    <n v="8"/>
  </r>
  <r>
    <s v="No"/>
    <s v="Travel_Rarely"/>
    <x v="2"/>
    <s v="Current Employees"/>
    <x v="1"/>
    <x v="0"/>
    <x v="1200"/>
    <x v="1200"/>
    <x v="1"/>
    <x v="3"/>
    <x v="1"/>
    <s v="No"/>
    <s v="Y"/>
    <n v="2"/>
    <n v="-2"/>
    <n v="0"/>
    <x v="14"/>
    <x v="1"/>
    <m/>
    <n v="0"/>
    <n v="1"/>
    <n v="1083"/>
    <n v="29"/>
    <x v="1"/>
    <n v="1"/>
    <n v="3"/>
    <n v="96"/>
    <n v="1"/>
    <n v="2"/>
    <n v="2"/>
    <n v="6549"/>
    <n v="3173"/>
    <n v="1"/>
    <n v="14"/>
    <n v="3"/>
    <n v="2"/>
    <n v="80"/>
    <n v="2"/>
    <n v="8"/>
    <n v="2"/>
    <n v="8"/>
    <n v="6"/>
    <n v="1"/>
    <n v="7"/>
  </r>
  <r>
    <s v="No"/>
    <s v="Travel_Rarely"/>
    <x v="2"/>
    <s v="Current Employees"/>
    <x v="1"/>
    <x v="0"/>
    <x v="1201"/>
    <x v="1201"/>
    <x v="1"/>
    <x v="1"/>
    <x v="1"/>
    <s v="No"/>
    <s v="Y"/>
    <n v="2"/>
    <n v="-2"/>
    <n v="0"/>
    <x v="11"/>
    <x v="1"/>
    <m/>
    <n v="0"/>
    <n v="1"/>
    <n v="598"/>
    <n v="9"/>
    <x v="3"/>
    <n v="1"/>
    <n v="3"/>
    <n v="91"/>
    <n v="4"/>
    <n v="1"/>
    <n v="3"/>
    <n v="2451"/>
    <n v="22376"/>
    <n v="6"/>
    <n v="18"/>
    <n v="3"/>
    <n v="1"/>
    <n v="80"/>
    <n v="2"/>
    <n v="5"/>
    <n v="2"/>
    <n v="1"/>
    <n v="0"/>
    <n v="0"/>
    <n v="0"/>
  </r>
  <r>
    <s v="No"/>
    <s v="Travel_Rarely"/>
    <x v="0"/>
    <s v="Current Employees"/>
    <x v="1"/>
    <x v="2"/>
    <x v="1202"/>
    <x v="1202"/>
    <x v="1"/>
    <x v="3"/>
    <x v="1"/>
    <s v="No"/>
    <s v="Y"/>
    <n v="3"/>
    <n v="-2"/>
    <n v="0"/>
    <x v="22"/>
    <x v="1"/>
    <m/>
    <n v="0"/>
    <n v="1"/>
    <n v="1387"/>
    <n v="10"/>
    <x v="4"/>
    <n v="1"/>
    <n v="2"/>
    <n v="76"/>
    <n v="3"/>
    <n v="2"/>
    <n v="1"/>
    <n v="5377"/>
    <n v="3835"/>
    <n v="2"/>
    <n v="13"/>
    <n v="3"/>
    <n v="4"/>
    <n v="80"/>
    <n v="3"/>
    <n v="10"/>
    <n v="3"/>
    <n v="7"/>
    <n v="7"/>
    <n v="7"/>
    <n v="7"/>
  </r>
  <r>
    <s v="No"/>
    <s v="Travel_Rarely"/>
    <x v="2"/>
    <s v="Current Employees"/>
    <x v="1"/>
    <x v="2"/>
    <x v="1203"/>
    <x v="1203"/>
    <x v="1"/>
    <x v="2"/>
    <x v="1"/>
    <s v="No"/>
    <s v="Y"/>
    <n v="6"/>
    <n v="-2"/>
    <n v="0"/>
    <x v="3"/>
    <x v="1"/>
    <m/>
    <n v="0"/>
    <n v="1"/>
    <n v="267"/>
    <n v="21"/>
    <x v="3"/>
    <n v="1"/>
    <n v="2"/>
    <n v="79"/>
    <n v="4"/>
    <n v="1"/>
    <n v="2"/>
    <n v="2028"/>
    <n v="13637"/>
    <n v="1"/>
    <n v="18"/>
    <n v="3"/>
    <n v="4"/>
    <n v="80"/>
    <n v="3"/>
    <n v="14"/>
    <n v="3"/>
    <n v="14"/>
    <n v="11"/>
    <n v="2"/>
    <n v="13"/>
  </r>
  <r>
    <s v="No"/>
    <s v="Travel_Rarely"/>
    <x v="3"/>
    <s v="Current Employees"/>
    <x v="1"/>
    <x v="2"/>
    <x v="1204"/>
    <x v="1204"/>
    <x v="1"/>
    <x v="7"/>
    <x v="1"/>
    <s v="No"/>
    <s v="Y"/>
    <n v="2"/>
    <n v="-2"/>
    <n v="0"/>
    <x v="27"/>
    <x v="1"/>
    <m/>
    <n v="0"/>
    <n v="1"/>
    <n v="478"/>
    <n v="2"/>
    <x v="3"/>
    <n v="1"/>
    <n v="3"/>
    <n v="60"/>
    <n v="2"/>
    <n v="5"/>
    <n v="1"/>
    <n v="19038"/>
    <n v="19805"/>
    <n v="8"/>
    <n v="12"/>
    <n v="3"/>
    <n v="2"/>
    <n v="80"/>
    <n v="3"/>
    <n v="34"/>
    <n v="3"/>
    <n v="1"/>
    <n v="0"/>
    <n v="0"/>
    <n v="0"/>
  </r>
  <r>
    <s v="No"/>
    <s v="Travel_Rarely"/>
    <x v="0"/>
    <s v="Current Employees"/>
    <x v="1"/>
    <x v="0"/>
    <x v="1205"/>
    <x v="1205"/>
    <x v="1"/>
    <x v="3"/>
    <x v="1"/>
    <s v="No"/>
    <s v="Y"/>
    <n v="2"/>
    <n v="-2"/>
    <n v="0"/>
    <x v="2"/>
    <x v="1"/>
    <m/>
    <n v="0"/>
    <n v="1"/>
    <n v="671"/>
    <n v="19"/>
    <x v="3"/>
    <n v="1"/>
    <n v="3"/>
    <n v="85"/>
    <n v="3"/>
    <n v="2"/>
    <n v="3"/>
    <n v="5768"/>
    <n v="26493"/>
    <n v="3"/>
    <n v="17"/>
    <n v="3"/>
    <n v="1"/>
    <n v="80"/>
    <n v="3"/>
    <n v="9"/>
    <n v="2"/>
    <n v="4"/>
    <n v="3"/>
    <n v="0"/>
    <n v="2"/>
  </r>
  <r>
    <s v="No"/>
    <s v="Travel_Rarely"/>
    <x v="2"/>
    <s v="Current Employees"/>
    <x v="1"/>
    <x v="2"/>
    <x v="1206"/>
    <x v="1206"/>
    <x v="1"/>
    <x v="2"/>
    <x v="1"/>
    <s v="No"/>
    <s v="Y"/>
    <n v="3"/>
    <n v="-2"/>
    <n v="0"/>
    <x v="25"/>
    <x v="1"/>
    <m/>
    <n v="0"/>
    <n v="1"/>
    <n v="390"/>
    <n v="17"/>
    <x v="2"/>
    <n v="1"/>
    <n v="4"/>
    <n v="62"/>
    <n v="1"/>
    <n v="1"/>
    <n v="3"/>
    <n v="2305"/>
    <n v="6217"/>
    <n v="1"/>
    <n v="15"/>
    <n v="3"/>
    <n v="3"/>
    <n v="80"/>
    <n v="3"/>
    <n v="3"/>
    <n v="4"/>
    <n v="3"/>
    <n v="2"/>
    <n v="0"/>
    <n v="2"/>
  </r>
  <r>
    <s v="No"/>
    <s v="Travel_Rarely"/>
    <x v="0"/>
    <s v="Current Employees"/>
    <x v="1"/>
    <x v="0"/>
    <x v="1207"/>
    <x v="1207"/>
    <x v="1"/>
    <x v="2"/>
    <x v="0"/>
    <s v="No"/>
    <s v="Y"/>
    <n v="2"/>
    <n v="-2"/>
    <n v="0"/>
    <x v="9"/>
    <x v="1"/>
    <m/>
    <n v="0"/>
    <n v="1"/>
    <n v="172"/>
    <n v="4"/>
    <x v="2"/>
    <n v="1"/>
    <n v="1"/>
    <n v="37"/>
    <n v="2"/>
    <n v="2"/>
    <n v="4"/>
    <n v="5810"/>
    <n v="22604"/>
    <n v="1"/>
    <n v="16"/>
    <n v="3"/>
    <n v="3"/>
    <n v="80"/>
    <n v="0"/>
    <n v="10"/>
    <n v="2"/>
    <n v="10"/>
    <n v="4"/>
    <n v="1"/>
    <n v="8"/>
  </r>
  <r>
    <s v="No"/>
    <s v="Travel_Rarely"/>
    <x v="0"/>
    <s v="Current Employees"/>
    <x v="1"/>
    <x v="0"/>
    <x v="1208"/>
    <x v="1208"/>
    <x v="1"/>
    <x v="2"/>
    <x v="0"/>
    <s v="No"/>
    <s v="Y"/>
    <n v="4"/>
    <n v="-2"/>
    <n v="0"/>
    <x v="9"/>
    <x v="1"/>
    <m/>
    <n v="0"/>
    <n v="1"/>
    <n v="311"/>
    <n v="7"/>
    <x v="3"/>
    <n v="1"/>
    <n v="1"/>
    <n v="77"/>
    <n v="3"/>
    <n v="1"/>
    <n v="2"/>
    <n v="2013"/>
    <n v="10950"/>
    <n v="2"/>
    <n v="11"/>
    <n v="3"/>
    <n v="3"/>
    <n v="80"/>
    <n v="0"/>
    <n v="15"/>
    <n v="3"/>
    <n v="4"/>
    <n v="3"/>
    <n v="1"/>
    <n v="3"/>
  </r>
  <r>
    <s v="No"/>
    <s v="Travel_Rarely"/>
    <x v="4"/>
    <s v="Current Employees"/>
    <x v="1"/>
    <x v="0"/>
    <x v="1209"/>
    <x v="1209"/>
    <x v="1"/>
    <x v="2"/>
    <x v="0"/>
    <s v="No"/>
    <s v="Y"/>
    <n v="2"/>
    <n v="-2"/>
    <n v="0"/>
    <x v="30"/>
    <x v="1"/>
    <m/>
    <n v="0"/>
    <n v="1"/>
    <n v="507"/>
    <n v="20"/>
    <x v="1"/>
    <n v="1"/>
    <n v="1"/>
    <n v="97"/>
    <n v="3"/>
    <n v="2"/>
    <n v="3"/>
    <n v="2272"/>
    <n v="24812"/>
    <n v="0"/>
    <n v="14"/>
    <n v="3"/>
    <n v="2"/>
    <n v="80"/>
    <n v="0"/>
    <n v="5"/>
    <n v="3"/>
    <n v="4"/>
    <n v="3"/>
    <n v="1"/>
    <n v="2"/>
  </r>
  <r>
    <s v="No"/>
    <s v="Travel_Rarely"/>
    <x v="2"/>
    <s v="Current Employees"/>
    <x v="1"/>
    <x v="2"/>
    <x v="1210"/>
    <x v="1210"/>
    <x v="1"/>
    <x v="1"/>
    <x v="0"/>
    <s v="No"/>
    <s v="Y"/>
    <n v="4"/>
    <n v="-2"/>
    <n v="0"/>
    <x v="13"/>
    <x v="1"/>
    <m/>
    <n v="0"/>
    <n v="1"/>
    <n v="479"/>
    <n v="7"/>
    <x v="2"/>
    <n v="1"/>
    <n v="1"/>
    <n v="35"/>
    <n v="3"/>
    <n v="1"/>
    <n v="4"/>
    <n v="2972"/>
    <n v="22061"/>
    <n v="1"/>
    <n v="13"/>
    <n v="3"/>
    <n v="3"/>
    <n v="80"/>
    <n v="0"/>
    <n v="1"/>
    <n v="1"/>
    <n v="1"/>
    <n v="0"/>
    <n v="0"/>
    <n v="0"/>
  </r>
  <r>
    <s v="No"/>
    <s v="Travel_Rarely"/>
    <x v="0"/>
    <s v="Current Employees"/>
    <x v="1"/>
    <x v="0"/>
    <x v="1211"/>
    <x v="1211"/>
    <x v="1"/>
    <x v="1"/>
    <x v="0"/>
    <s v="No"/>
    <s v="Y"/>
    <n v="2"/>
    <n v="-2"/>
    <n v="0"/>
    <x v="22"/>
    <x v="1"/>
    <m/>
    <n v="0"/>
    <n v="1"/>
    <n v="116"/>
    <n v="24"/>
    <x v="1"/>
    <n v="1"/>
    <n v="1"/>
    <n v="52"/>
    <n v="3"/>
    <n v="2"/>
    <n v="4"/>
    <n v="4108"/>
    <n v="5340"/>
    <n v="7"/>
    <n v="13"/>
    <n v="3"/>
    <n v="1"/>
    <n v="80"/>
    <n v="0"/>
    <n v="18"/>
    <n v="3"/>
    <n v="7"/>
    <n v="7"/>
    <n v="1"/>
    <n v="7"/>
  </r>
  <r>
    <s v="No"/>
    <s v="Travel_Rarely"/>
    <x v="4"/>
    <s v="Current Employees"/>
    <x v="1"/>
    <x v="0"/>
    <x v="1212"/>
    <x v="1212"/>
    <x v="1"/>
    <x v="4"/>
    <x v="0"/>
    <s v="No"/>
    <s v="Y"/>
    <n v="2"/>
    <n v="-2"/>
    <n v="0"/>
    <x v="17"/>
    <x v="1"/>
    <m/>
    <n v="0"/>
    <n v="1"/>
    <n v="771"/>
    <n v="1"/>
    <x v="0"/>
    <n v="1"/>
    <n v="2"/>
    <n v="45"/>
    <n v="2"/>
    <n v="2"/>
    <n v="3"/>
    <n v="4617"/>
    <n v="14120"/>
    <n v="1"/>
    <n v="12"/>
    <n v="3"/>
    <n v="2"/>
    <n v="80"/>
    <n v="0"/>
    <n v="4"/>
    <n v="2"/>
    <n v="4"/>
    <n v="3"/>
    <n v="1"/>
    <n v="2"/>
  </r>
  <r>
    <s v="No"/>
    <s v="Travel_Rarely"/>
    <x v="0"/>
    <s v="Current Employees"/>
    <x v="1"/>
    <x v="2"/>
    <x v="1213"/>
    <x v="1213"/>
    <x v="1"/>
    <x v="1"/>
    <x v="0"/>
    <s v="No"/>
    <s v="Y"/>
    <n v="5"/>
    <n v="-2"/>
    <n v="0"/>
    <x v="10"/>
    <x v="1"/>
    <m/>
    <n v="0"/>
    <n v="1"/>
    <n v="1395"/>
    <n v="9"/>
    <x v="2"/>
    <n v="1"/>
    <n v="2"/>
    <n v="48"/>
    <n v="3"/>
    <n v="2"/>
    <n v="3"/>
    <n v="5098"/>
    <n v="18698"/>
    <n v="1"/>
    <n v="19"/>
    <n v="3"/>
    <n v="2"/>
    <n v="80"/>
    <n v="0"/>
    <n v="10"/>
    <n v="3"/>
    <n v="10"/>
    <n v="7"/>
    <n v="0"/>
    <n v="8"/>
  </r>
  <r>
    <s v="No"/>
    <s v="Travel_Rarely"/>
    <x v="0"/>
    <s v="Current Employees"/>
    <x v="1"/>
    <x v="0"/>
    <x v="1214"/>
    <x v="1214"/>
    <x v="1"/>
    <x v="4"/>
    <x v="0"/>
    <s v="No"/>
    <s v="Y"/>
    <n v="3"/>
    <n v="-2"/>
    <n v="0"/>
    <x v="0"/>
    <x v="1"/>
    <m/>
    <n v="0"/>
    <n v="1"/>
    <n v="447"/>
    <n v="5"/>
    <x v="3"/>
    <n v="1"/>
    <n v="2"/>
    <n v="85"/>
    <n v="4"/>
    <n v="2"/>
    <n v="2"/>
    <n v="6870"/>
    <n v="15530"/>
    <n v="3"/>
    <n v="12"/>
    <n v="3"/>
    <n v="1"/>
    <n v="80"/>
    <n v="0"/>
    <n v="11"/>
    <n v="1"/>
    <n v="3"/>
    <n v="2"/>
    <n v="1"/>
    <n v="2"/>
  </r>
  <r>
    <s v="No"/>
    <s v="Travel_Rarely"/>
    <x v="0"/>
    <s v="Current Employees"/>
    <x v="1"/>
    <x v="0"/>
    <x v="1215"/>
    <x v="1215"/>
    <x v="1"/>
    <x v="1"/>
    <x v="0"/>
    <s v="No"/>
    <s v="Y"/>
    <n v="2"/>
    <n v="-2"/>
    <n v="0"/>
    <x v="32"/>
    <x v="1"/>
    <m/>
    <n v="0"/>
    <n v="1"/>
    <n v="1322"/>
    <n v="2"/>
    <x v="2"/>
    <n v="1"/>
    <n v="3"/>
    <n v="52"/>
    <n v="2"/>
    <n v="1"/>
    <n v="3"/>
    <n v="2809"/>
    <n v="2725"/>
    <n v="2"/>
    <n v="14"/>
    <n v="3"/>
    <n v="4"/>
    <n v="80"/>
    <n v="0"/>
    <n v="8"/>
    <n v="3"/>
    <n v="2"/>
    <n v="2"/>
    <n v="2"/>
    <n v="2"/>
  </r>
  <r>
    <s v="No"/>
    <s v="Travel_Rarely"/>
    <x v="2"/>
    <s v="Current Employees"/>
    <x v="1"/>
    <x v="2"/>
    <x v="1216"/>
    <x v="1216"/>
    <x v="1"/>
    <x v="2"/>
    <x v="0"/>
    <s v="No"/>
    <s v="Y"/>
    <n v="6"/>
    <n v="-2"/>
    <n v="0"/>
    <x v="25"/>
    <x v="1"/>
    <m/>
    <n v="0"/>
    <n v="1"/>
    <n v="157"/>
    <n v="1"/>
    <x v="3"/>
    <n v="1"/>
    <n v="3"/>
    <n v="95"/>
    <n v="3"/>
    <n v="1"/>
    <n v="1"/>
    <n v="2867"/>
    <n v="20006"/>
    <n v="0"/>
    <n v="13"/>
    <n v="3"/>
    <n v="4"/>
    <n v="80"/>
    <n v="0"/>
    <n v="8"/>
    <n v="2"/>
    <n v="7"/>
    <n v="7"/>
    <n v="7"/>
    <n v="6"/>
  </r>
  <r>
    <s v="No"/>
    <s v="Travel_Rarely"/>
    <x v="1"/>
    <s v="Current Employees"/>
    <x v="1"/>
    <x v="0"/>
    <x v="1217"/>
    <x v="1217"/>
    <x v="1"/>
    <x v="4"/>
    <x v="0"/>
    <s v="No"/>
    <s v="Y"/>
    <n v="3"/>
    <n v="-2"/>
    <n v="0"/>
    <x v="21"/>
    <x v="1"/>
    <m/>
    <n v="0"/>
    <n v="1"/>
    <n v="717"/>
    <n v="13"/>
    <x v="2"/>
    <n v="1"/>
    <n v="3"/>
    <n v="34"/>
    <n v="3"/>
    <n v="2"/>
    <n v="2"/>
    <n v="5562"/>
    <n v="9697"/>
    <n v="6"/>
    <n v="14"/>
    <n v="3"/>
    <n v="4"/>
    <n v="80"/>
    <n v="0"/>
    <n v="19"/>
    <n v="3"/>
    <n v="10"/>
    <n v="7"/>
    <n v="0"/>
    <n v="9"/>
  </r>
  <r>
    <s v="No"/>
    <s v="Travel_Rarely"/>
    <x v="1"/>
    <s v="Current Employees"/>
    <x v="1"/>
    <x v="0"/>
    <x v="1218"/>
    <x v="1218"/>
    <x v="1"/>
    <x v="5"/>
    <x v="0"/>
    <s v="No"/>
    <s v="Y"/>
    <n v="2"/>
    <n v="-2"/>
    <n v="0"/>
    <x v="1"/>
    <x v="1"/>
    <m/>
    <n v="0"/>
    <n v="1"/>
    <n v="809"/>
    <n v="1"/>
    <x v="3"/>
    <n v="1"/>
    <n v="3"/>
    <n v="36"/>
    <n v="3"/>
    <n v="4"/>
    <n v="3"/>
    <n v="15379"/>
    <n v="22384"/>
    <n v="4"/>
    <n v="14"/>
    <n v="3"/>
    <n v="1"/>
    <n v="80"/>
    <n v="0"/>
    <n v="23"/>
    <n v="3"/>
    <n v="8"/>
    <n v="7"/>
    <n v="0"/>
    <n v="0"/>
  </r>
  <r>
    <s v="No"/>
    <s v="Travel_Rarely"/>
    <x v="4"/>
    <s v="Current Employees"/>
    <x v="1"/>
    <x v="2"/>
    <x v="1219"/>
    <x v="1219"/>
    <x v="1"/>
    <x v="1"/>
    <x v="0"/>
    <s v="No"/>
    <s v="Y"/>
    <n v="2"/>
    <n v="-2"/>
    <n v="0"/>
    <x v="18"/>
    <x v="1"/>
    <m/>
    <n v="0"/>
    <n v="1"/>
    <n v="546"/>
    <n v="5"/>
    <x v="1"/>
    <n v="1"/>
    <n v="3"/>
    <n v="97"/>
    <n v="3"/>
    <n v="1"/>
    <n v="4"/>
    <n v="3117"/>
    <n v="26009"/>
    <n v="1"/>
    <n v="18"/>
    <n v="3"/>
    <n v="3"/>
    <n v="80"/>
    <n v="0"/>
    <n v="3"/>
    <n v="3"/>
    <n v="2"/>
    <n v="2"/>
    <n v="2"/>
    <n v="2"/>
  </r>
  <r>
    <s v="No"/>
    <s v="Travel_Rarely"/>
    <x v="2"/>
    <s v="Current Employees"/>
    <x v="1"/>
    <x v="1"/>
    <x v="1220"/>
    <x v="1220"/>
    <x v="1"/>
    <x v="2"/>
    <x v="0"/>
    <s v="No"/>
    <s v="Y"/>
    <n v="2"/>
    <n v="-2"/>
    <n v="0"/>
    <x v="25"/>
    <x v="1"/>
    <m/>
    <n v="0"/>
    <n v="1"/>
    <n v="652"/>
    <n v="7"/>
    <x v="3"/>
    <n v="1"/>
    <n v="3"/>
    <n v="100"/>
    <n v="4"/>
    <n v="1"/>
    <n v="1"/>
    <n v="3578"/>
    <n v="23577"/>
    <n v="0"/>
    <n v="12"/>
    <n v="3"/>
    <n v="4"/>
    <n v="80"/>
    <n v="0"/>
    <n v="8"/>
    <n v="3"/>
    <n v="7"/>
    <n v="7"/>
    <n v="0"/>
    <n v="7"/>
  </r>
  <r>
    <s v="No"/>
    <s v="Travel_Rarely"/>
    <x v="0"/>
    <s v="Current Employees"/>
    <x v="1"/>
    <x v="2"/>
    <x v="1221"/>
    <x v="1221"/>
    <x v="1"/>
    <x v="2"/>
    <x v="0"/>
    <s v="No"/>
    <s v="Y"/>
    <n v="3"/>
    <n v="-2"/>
    <n v="0"/>
    <x v="10"/>
    <x v="1"/>
    <m/>
    <n v="0"/>
    <n v="1"/>
    <n v="992"/>
    <n v="1"/>
    <x v="3"/>
    <n v="1"/>
    <n v="4"/>
    <n v="68"/>
    <n v="2"/>
    <n v="1"/>
    <n v="1"/>
    <n v="2450"/>
    <n v="21731"/>
    <n v="1"/>
    <n v="19"/>
    <n v="3"/>
    <n v="2"/>
    <n v="80"/>
    <n v="0"/>
    <n v="3"/>
    <n v="3"/>
    <n v="3"/>
    <n v="0"/>
    <n v="1"/>
    <n v="2"/>
  </r>
  <r>
    <s v="No"/>
    <s v="Travel_Rarely"/>
    <x v="2"/>
    <s v="Current Employees"/>
    <x v="1"/>
    <x v="0"/>
    <x v="1222"/>
    <x v="1222"/>
    <x v="1"/>
    <x v="3"/>
    <x v="0"/>
    <s v="No"/>
    <s v="Y"/>
    <n v="2"/>
    <n v="-2"/>
    <n v="0"/>
    <x v="3"/>
    <x v="1"/>
    <m/>
    <n v="0"/>
    <n v="1"/>
    <n v="575"/>
    <n v="25"/>
    <x v="3"/>
    <n v="1"/>
    <n v="4"/>
    <n v="44"/>
    <n v="2"/>
    <n v="2"/>
    <n v="2"/>
    <n v="4320"/>
    <n v="24152"/>
    <n v="1"/>
    <n v="13"/>
    <n v="3"/>
    <n v="4"/>
    <n v="80"/>
    <n v="0"/>
    <n v="5"/>
    <n v="3"/>
    <n v="5"/>
    <n v="3"/>
    <n v="0"/>
    <n v="2"/>
  </r>
  <r>
    <s v="No"/>
    <s v="Travel_Rarely"/>
    <x v="2"/>
    <s v="Current Employees"/>
    <x v="1"/>
    <x v="0"/>
    <x v="1223"/>
    <x v="1223"/>
    <x v="1"/>
    <x v="2"/>
    <x v="0"/>
    <s v="No"/>
    <s v="Y"/>
    <n v="2"/>
    <n v="-2"/>
    <n v="0"/>
    <x v="11"/>
    <x v="1"/>
    <m/>
    <n v="0"/>
    <n v="1"/>
    <n v="592"/>
    <n v="7"/>
    <x v="3"/>
    <n v="1"/>
    <n v="4"/>
    <n v="59"/>
    <n v="3"/>
    <n v="1"/>
    <n v="1"/>
    <n v="2062"/>
    <n v="19384"/>
    <n v="3"/>
    <n v="14"/>
    <n v="3"/>
    <n v="2"/>
    <n v="80"/>
    <n v="0"/>
    <n v="11"/>
    <n v="3"/>
    <n v="3"/>
    <n v="2"/>
    <n v="1"/>
    <n v="2"/>
  </r>
  <r>
    <s v="No"/>
    <s v="Travel_Rarely"/>
    <x v="2"/>
    <s v="Current Employees"/>
    <x v="1"/>
    <x v="4"/>
    <x v="1224"/>
    <x v="1224"/>
    <x v="1"/>
    <x v="1"/>
    <x v="0"/>
    <s v="No"/>
    <s v="Y"/>
    <n v="4"/>
    <n v="-2"/>
    <n v="0"/>
    <x v="5"/>
    <x v="1"/>
    <m/>
    <n v="0"/>
    <n v="1"/>
    <n v="529"/>
    <n v="2"/>
    <x v="3"/>
    <n v="1"/>
    <n v="4"/>
    <n v="78"/>
    <n v="3"/>
    <n v="1"/>
    <n v="4"/>
    <n v="2439"/>
    <n v="11288"/>
    <n v="1"/>
    <n v="14"/>
    <n v="3"/>
    <n v="4"/>
    <n v="80"/>
    <n v="0"/>
    <n v="4"/>
    <n v="3"/>
    <n v="4"/>
    <n v="2"/>
    <n v="1"/>
    <n v="2"/>
  </r>
  <r>
    <s v="No"/>
    <s v="Travel_Rarely"/>
    <x v="0"/>
    <s v="Current Employees"/>
    <x v="1"/>
    <x v="0"/>
    <x v="1225"/>
    <x v="1225"/>
    <x v="1"/>
    <x v="1"/>
    <x v="0"/>
    <s v="No"/>
    <s v="Y"/>
    <n v="3"/>
    <n v="-2"/>
    <n v="0"/>
    <x v="20"/>
    <x v="1"/>
    <m/>
    <n v="0"/>
    <n v="1"/>
    <n v="1467"/>
    <n v="20"/>
    <x v="3"/>
    <n v="1"/>
    <n v="4"/>
    <n v="49"/>
    <n v="3"/>
    <n v="1"/>
    <n v="2"/>
    <n v="3420"/>
    <n v="21158"/>
    <n v="1"/>
    <n v="13"/>
    <n v="3"/>
    <n v="3"/>
    <n v="80"/>
    <n v="0"/>
    <n v="6"/>
    <n v="2"/>
    <n v="5"/>
    <n v="2"/>
    <n v="1"/>
    <n v="3"/>
  </r>
  <r>
    <s v="No"/>
    <s v="Travel_Rarely"/>
    <x v="0"/>
    <s v="Current Employees"/>
    <x v="1"/>
    <x v="0"/>
    <x v="1226"/>
    <x v="1226"/>
    <x v="1"/>
    <x v="2"/>
    <x v="0"/>
    <s v="No"/>
    <s v="Y"/>
    <n v="3"/>
    <n v="-2"/>
    <n v="0"/>
    <x v="19"/>
    <x v="1"/>
    <m/>
    <n v="0"/>
    <n v="1"/>
    <n v="1142"/>
    <n v="8"/>
    <x v="3"/>
    <n v="1"/>
    <n v="4"/>
    <n v="81"/>
    <n v="3"/>
    <n v="1"/>
    <n v="3"/>
    <n v="3968"/>
    <n v="13624"/>
    <n v="4"/>
    <n v="13"/>
    <n v="3"/>
    <n v="4"/>
    <n v="80"/>
    <n v="0"/>
    <n v="8"/>
    <n v="3"/>
    <n v="0"/>
    <n v="0"/>
    <n v="0"/>
    <n v="0"/>
  </r>
  <r>
    <s v="No"/>
    <s v="Travel_Rarely"/>
    <x v="4"/>
    <s v="Current Employees"/>
    <x v="1"/>
    <x v="0"/>
    <x v="1227"/>
    <x v="1227"/>
    <x v="1"/>
    <x v="1"/>
    <x v="0"/>
    <s v="No"/>
    <s v="Y"/>
    <n v="2"/>
    <n v="-2"/>
    <n v="0"/>
    <x v="15"/>
    <x v="1"/>
    <m/>
    <n v="0"/>
    <n v="1"/>
    <n v="581"/>
    <n v="1"/>
    <x v="0"/>
    <n v="1"/>
    <n v="4"/>
    <n v="63"/>
    <n v="3"/>
    <n v="1"/>
    <n v="3"/>
    <n v="3375"/>
    <n v="17624"/>
    <n v="0"/>
    <n v="12"/>
    <n v="3"/>
    <n v="4"/>
    <n v="80"/>
    <n v="0"/>
    <n v="4"/>
    <n v="4"/>
    <n v="3"/>
    <n v="2"/>
    <n v="1"/>
    <n v="2"/>
  </r>
  <r>
    <s v="No"/>
    <s v="Travel_Rarely"/>
    <x v="4"/>
    <s v="Current Employees"/>
    <x v="1"/>
    <x v="1"/>
    <x v="1228"/>
    <x v="1228"/>
    <x v="1"/>
    <x v="2"/>
    <x v="0"/>
    <s v="No"/>
    <s v="Y"/>
    <n v="6"/>
    <n v="-2"/>
    <n v="0"/>
    <x v="30"/>
    <x v="1"/>
    <m/>
    <n v="0"/>
    <n v="1"/>
    <n v="571"/>
    <n v="12"/>
    <x v="0"/>
    <n v="1"/>
    <n v="4"/>
    <n v="78"/>
    <n v="3"/>
    <n v="1"/>
    <n v="4"/>
    <n v="2647"/>
    <n v="13672"/>
    <n v="1"/>
    <n v="13"/>
    <n v="3"/>
    <n v="3"/>
    <n v="80"/>
    <n v="0"/>
    <n v="5"/>
    <n v="4"/>
    <n v="5"/>
    <n v="2"/>
    <n v="1"/>
    <n v="4"/>
  </r>
  <r>
    <s v="No"/>
    <s v="Travel_Rarely"/>
    <x v="1"/>
    <s v="Current Employees"/>
    <x v="1"/>
    <x v="2"/>
    <x v="1229"/>
    <x v="1229"/>
    <x v="1"/>
    <x v="7"/>
    <x v="0"/>
    <s v="No"/>
    <s v="Y"/>
    <n v="2"/>
    <n v="-2"/>
    <n v="0"/>
    <x v="16"/>
    <x v="1"/>
    <m/>
    <n v="0"/>
    <n v="1"/>
    <n v="447"/>
    <n v="2"/>
    <x v="3"/>
    <n v="1"/>
    <n v="4"/>
    <n v="39"/>
    <n v="4"/>
    <n v="4"/>
    <n v="2"/>
    <n v="16598"/>
    <n v="19764"/>
    <n v="4"/>
    <n v="12"/>
    <n v="3"/>
    <n v="2"/>
    <n v="80"/>
    <n v="0"/>
    <n v="35"/>
    <n v="2"/>
    <n v="9"/>
    <n v="8"/>
    <n v="8"/>
    <n v="8"/>
  </r>
  <r>
    <s v="No"/>
    <s v="Travel_Rarely"/>
    <x v="2"/>
    <s v="Current Employees"/>
    <x v="0"/>
    <x v="0"/>
    <x v="1230"/>
    <x v="1230"/>
    <x v="1"/>
    <x v="0"/>
    <x v="2"/>
    <s v="No"/>
    <s v="Y"/>
    <n v="5"/>
    <n v="-2"/>
    <n v="0"/>
    <x v="12"/>
    <x v="1"/>
    <m/>
    <n v="0"/>
    <n v="1"/>
    <n v="326"/>
    <n v="8"/>
    <x v="0"/>
    <n v="1"/>
    <n v="1"/>
    <n v="31"/>
    <n v="3"/>
    <n v="3"/>
    <n v="4"/>
    <n v="10793"/>
    <n v="8386"/>
    <n v="1"/>
    <n v="18"/>
    <n v="3"/>
    <n v="1"/>
    <n v="80"/>
    <n v="1"/>
    <n v="13"/>
    <n v="3"/>
    <n v="13"/>
    <n v="7"/>
    <n v="9"/>
    <n v="9"/>
  </r>
  <r>
    <s v="No"/>
    <s v="Travel_Rarely"/>
    <x v="2"/>
    <s v="Current Employees"/>
    <x v="0"/>
    <x v="3"/>
    <x v="1231"/>
    <x v="1231"/>
    <x v="1"/>
    <x v="0"/>
    <x v="2"/>
    <s v="No"/>
    <s v="Y"/>
    <n v="2"/>
    <n v="-2"/>
    <n v="0"/>
    <x v="7"/>
    <x v="1"/>
    <m/>
    <n v="0"/>
    <n v="1"/>
    <n v="979"/>
    <n v="15"/>
    <x v="0"/>
    <n v="1"/>
    <n v="3"/>
    <n v="94"/>
    <n v="2"/>
    <n v="3"/>
    <n v="2"/>
    <n v="7140"/>
    <n v="3088"/>
    <n v="2"/>
    <n v="11"/>
    <n v="3"/>
    <n v="1"/>
    <n v="80"/>
    <n v="1"/>
    <n v="12"/>
    <n v="3"/>
    <n v="7"/>
    <n v="7"/>
    <n v="1"/>
    <n v="7"/>
  </r>
  <r>
    <s v="No"/>
    <s v="Travel_Rarely"/>
    <x v="0"/>
    <s v="Current Employees"/>
    <x v="0"/>
    <x v="0"/>
    <x v="1232"/>
    <x v="1232"/>
    <x v="1"/>
    <x v="0"/>
    <x v="2"/>
    <s v="No"/>
    <s v="Y"/>
    <n v="5"/>
    <n v="-2"/>
    <n v="0"/>
    <x v="0"/>
    <x v="1"/>
    <m/>
    <n v="0"/>
    <n v="1"/>
    <n v="930"/>
    <n v="3"/>
    <x v="3"/>
    <n v="1"/>
    <n v="3"/>
    <n v="57"/>
    <n v="2"/>
    <n v="2"/>
    <n v="2"/>
    <n v="8938"/>
    <n v="12227"/>
    <n v="2"/>
    <n v="11"/>
    <n v="3"/>
    <n v="3"/>
    <n v="80"/>
    <n v="1"/>
    <n v="14"/>
    <n v="3"/>
    <n v="5"/>
    <n v="4"/>
    <n v="0"/>
    <n v="4"/>
  </r>
  <r>
    <s v="No"/>
    <s v="Travel_Rarely"/>
    <x v="2"/>
    <s v="Current Employees"/>
    <x v="0"/>
    <x v="2"/>
    <x v="1233"/>
    <x v="1233"/>
    <x v="1"/>
    <x v="0"/>
    <x v="2"/>
    <s v="No"/>
    <s v="Y"/>
    <n v="2"/>
    <n v="-2"/>
    <n v="0"/>
    <x v="13"/>
    <x v="1"/>
    <m/>
    <n v="0"/>
    <n v="1"/>
    <n v="1239"/>
    <n v="13"/>
    <x v="2"/>
    <n v="1"/>
    <n v="4"/>
    <n v="39"/>
    <n v="3"/>
    <n v="3"/>
    <n v="3"/>
    <n v="8628"/>
    <n v="22914"/>
    <n v="1"/>
    <n v="18"/>
    <n v="3"/>
    <n v="3"/>
    <n v="80"/>
    <n v="1"/>
    <n v="9"/>
    <n v="2"/>
    <n v="8"/>
    <n v="7"/>
    <n v="1"/>
    <n v="1"/>
  </r>
  <r>
    <s v="No"/>
    <s v="Travel_Rarely"/>
    <x v="2"/>
    <s v="Current Employees"/>
    <x v="0"/>
    <x v="0"/>
    <x v="1234"/>
    <x v="1234"/>
    <x v="1"/>
    <x v="0"/>
    <x v="2"/>
    <s v="No"/>
    <s v="Y"/>
    <n v="3"/>
    <n v="-2"/>
    <n v="0"/>
    <x v="11"/>
    <x v="1"/>
    <m/>
    <n v="0"/>
    <n v="1"/>
    <n v="1246"/>
    <n v="19"/>
    <x v="3"/>
    <n v="1"/>
    <n v="3"/>
    <n v="77"/>
    <n v="2"/>
    <n v="2"/>
    <n v="3"/>
    <n v="8620"/>
    <n v="23757"/>
    <n v="1"/>
    <n v="14"/>
    <n v="3"/>
    <n v="3"/>
    <n v="80"/>
    <n v="2"/>
    <n v="10"/>
    <n v="3"/>
    <n v="10"/>
    <n v="7"/>
    <n v="0"/>
    <n v="4"/>
  </r>
  <r>
    <s v="No"/>
    <s v="Travel_Rarely"/>
    <x v="2"/>
    <s v="Current Employees"/>
    <x v="0"/>
    <x v="2"/>
    <x v="1235"/>
    <x v="1235"/>
    <x v="1"/>
    <x v="0"/>
    <x v="2"/>
    <s v="No"/>
    <s v="Y"/>
    <n v="5"/>
    <n v="-2"/>
    <n v="0"/>
    <x v="3"/>
    <x v="1"/>
    <m/>
    <n v="0"/>
    <n v="1"/>
    <n v="392"/>
    <n v="2"/>
    <x v="2"/>
    <n v="1"/>
    <n v="4"/>
    <n v="93"/>
    <n v="3"/>
    <n v="2"/>
    <n v="4"/>
    <n v="5505"/>
    <n v="3921"/>
    <n v="1"/>
    <n v="14"/>
    <n v="3"/>
    <n v="3"/>
    <n v="80"/>
    <n v="2"/>
    <n v="6"/>
    <n v="3"/>
    <n v="6"/>
    <n v="2"/>
    <n v="0"/>
    <n v="4"/>
  </r>
  <r>
    <s v="No"/>
    <s v="Travel_Rarely"/>
    <x v="1"/>
    <s v="Current Employees"/>
    <x v="0"/>
    <x v="3"/>
    <x v="1236"/>
    <x v="1236"/>
    <x v="1"/>
    <x v="0"/>
    <x v="2"/>
    <s v="No"/>
    <s v="Y"/>
    <n v="3"/>
    <n v="-2"/>
    <n v="0"/>
    <x v="26"/>
    <x v="1"/>
    <m/>
    <n v="0"/>
    <n v="1"/>
    <n v="1221"/>
    <n v="7"/>
    <x v="3"/>
    <n v="1"/>
    <n v="3"/>
    <n v="96"/>
    <n v="3"/>
    <n v="2"/>
    <n v="2"/>
    <n v="5486"/>
    <n v="24795"/>
    <n v="4"/>
    <n v="11"/>
    <n v="3"/>
    <n v="1"/>
    <n v="80"/>
    <n v="3"/>
    <n v="15"/>
    <n v="3"/>
    <n v="2"/>
    <n v="2"/>
    <n v="2"/>
    <n v="2"/>
  </r>
  <r>
    <s v="No"/>
    <s v="Travel_Rarely"/>
    <x v="0"/>
    <s v="Current Employees"/>
    <x v="0"/>
    <x v="2"/>
    <x v="1237"/>
    <x v="1237"/>
    <x v="1"/>
    <x v="0"/>
    <x v="1"/>
    <s v="No"/>
    <s v="Y"/>
    <n v="5"/>
    <n v="-2"/>
    <n v="0"/>
    <x v="32"/>
    <x v="1"/>
    <m/>
    <n v="0"/>
    <n v="1"/>
    <n v="1342"/>
    <n v="9"/>
    <x v="0"/>
    <n v="1"/>
    <n v="1"/>
    <n v="47"/>
    <n v="3"/>
    <n v="2"/>
    <n v="1"/>
    <n v="5473"/>
    <n v="19345"/>
    <n v="0"/>
    <n v="12"/>
    <n v="3"/>
    <n v="4"/>
    <n v="80"/>
    <n v="0"/>
    <n v="9"/>
    <n v="4"/>
    <n v="8"/>
    <n v="4"/>
    <n v="7"/>
    <n v="1"/>
  </r>
  <r>
    <s v="No"/>
    <s v="Travel_Rarely"/>
    <x v="2"/>
    <s v="Current Employees"/>
    <x v="0"/>
    <x v="0"/>
    <x v="1238"/>
    <x v="1238"/>
    <x v="1"/>
    <x v="0"/>
    <x v="1"/>
    <s v="No"/>
    <s v="Y"/>
    <n v="6"/>
    <n v="-2"/>
    <n v="0"/>
    <x v="3"/>
    <x v="1"/>
    <m/>
    <n v="0"/>
    <n v="1"/>
    <n v="1242"/>
    <n v="8"/>
    <x v="2"/>
    <n v="1"/>
    <n v="1"/>
    <n v="46"/>
    <n v="3"/>
    <n v="2"/>
    <n v="1"/>
    <n v="6392"/>
    <n v="10589"/>
    <n v="2"/>
    <n v="13"/>
    <n v="3"/>
    <n v="4"/>
    <n v="80"/>
    <n v="1"/>
    <n v="8"/>
    <n v="1"/>
    <n v="2"/>
    <n v="2"/>
    <n v="2"/>
    <n v="2"/>
  </r>
  <r>
    <s v="No"/>
    <s v="Travel_Rarely"/>
    <x v="2"/>
    <s v="Current Employees"/>
    <x v="0"/>
    <x v="0"/>
    <x v="1239"/>
    <x v="1239"/>
    <x v="1"/>
    <x v="6"/>
    <x v="1"/>
    <s v="No"/>
    <s v="Y"/>
    <n v="1"/>
    <n v="-2"/>
    <n v="0"/>
    <x v="12"/>
    <x v="1"/>
    <m/>
    <n v="0"/>
    <n v="1"/>
    <n v="1154"/>
    <n v="2"/>
    <x v="0"/>
    <n v="1"/>
    <n v="1"/>
    <n v="54"/>
    <n v="3"/>
    <n v="1"/>
    <n v="3"/>
    <n v="3067"/>
    <n v="6393"/>
    <n v="0"/>
    <n v="19"/>
    <n v="3"/>
    <n v="3"/>
    <n v="80"/>
    <n v="1"/>
    <n v="3"/>
    <n v="3"/>
    <n v="2"/>
    <n v="2"/>
    <n v="1"/>
    <n v="2"/>
  </r>
  <r>
    <s v="No"/>
    <s v="Travel_Rarely"/>
    <x v="2"/>
    <s v="Current Employees"/>
    <x v="0"/>
    <x v="4"/>
    <x v="1240"/>
    <x v="1240"/>
    <x v="1"/>
    <x v="0"/>
    <x v="1"/>
    <s v="No"/>
    <s v="Y"/>
    <n v="3"/>
    <n v="-2"/>
    <n v="0"/>
    <x v="12"/>
    <x v="1"/>
    <m/>
    <n v="0"/>
    <n v="1"/>
    <n v="1003"/>
    <n v="5"/>
    <x v="3"/>
    <n v="1"/>
    <n v="4"/>
    <n v="51"/>
    <n v="3"/>
    <n v="2"/>
    <n v="4"/>
    <n v="8346"/>
    <n v="20943"/>
    <n v="1"/>
    <n v="19"/>
    <n v="3"/>
    <n v="3"/>
    <n v="80"/>
    <n v="1"/>
    <n v="6"/>
    <n v="3"/>
    <n v="5"/>
    <n v="2"/>
    <n v="0"/>
    <n v="2"/>
  </r>
  <r>
    <s v="No"/>
    <s v="Travel_Rarely"/>
    <x v="2"/>
    <s v="Current Employees"/>
    <x v="0"/>
    <x v="2"/>
    <x v="1241"/>
    <x v="1241"/>
    <x v="1"/>
    <x v="6"/>
    <x v="1"/>
    <s v="No"/>
    <s v="Y"/>
    <n v="2"/>
    <n v="-2"/>
    <n v="0"/>
    <x v="5"/>
    <x v="1"/>
    <m/>
    <n v="0"/>
    <n v="1"/>
    <n v="234"/>
    <n v="1"/>
    <x v="2"/>
    <n v="1"/>
    <n v="2"/>
    <n v="68"/>
    <n v="2"/>
    <n v="1"/>
    <n v="2"/>
    <n v="2269"/>
    <n v="18024"/>
    <n v="0"/>
    <n v="14"/>
    <n v="3"/>
    <n v="2"/>
    <n v="80"/>
    <n v="1"/>
    <n v="3"/>
    <n v="3"/>
    <n v="2"/>
    <n v="2"/>
    <n v="2"/>
    <n v="2"/>
  </r>
  <r>
    <s v="No"/>
    <s v="Travel_Rarely"/>
    <x v="0"/>
    <s v="Current Employees"/>
    <x v="0"/>
    <x v="2"/>
    <x v="1242"/>
    <x v="1242"/>
    <x v="1"/>
    <x v="0"/>
    <x v="1"/>
    <s v="No"/>
    <s v="Y"/>
    <n v="2"/>
    <n v="-2"/>
    <n v="0"/>
    <x v="10"/>
    <x v="1"/>
    <m/>
    <n v="0"/>
    <n v="1"/>
    <n v="682"/>
    <n v="18"/>
    <x v="2"/>
    <n v="1"/>
    <n v="2"/>
    <n v="71"/>
    <n v="3"/>
    <n v="2"/>
    <n v="1"/>
    <n v="5561"/>
    <n v="15975"/>
    <n v="0"/>
    <n v="16"/>
    <n v="3"/>
    <n v="4"/>
    <n v="80"/>
    <n v="1"/>
    <n v="6"/>
    <n v="1"/>
    <n v="5"/>
    <n v="3"/>
    <n v="0"/>
    <n v="4"/>
  </r>
  <r>
    <s v="No"/>
    <s v="Travel_Rarely"/>
    <x v="2"/>
    <s v="Current Employees"/>
    <x v="0"/>
    <x v="4"/>
    <x v="1243"/>
    <x v="1243"/>
    <x v="1"/>
    <x v="0"/>
    <x v="1"/>
    <s v="No"/>
    <s v="Y"/>
    <n v="3"/>
    <n v="-2"/>
    <n v="0"/>
    <x v="7"/>
    <x v="1"/>
    <m/>
    <n v="0"/>
    <n v="1"/>
    <n v="1288"/>
    <n v="29"/>
    <x v="2"/>
    <n v="1"/>
    <n v="4"/>
    <n v="33"/>
    <n v="3"/>
    <n v="3"/>
    <n v="4"/>
    <n v="9250"/>
    <n v="17799"/>
    <n v="3"/>
    <n v="12"/>
    <n v="3"/>
    <n v="2"/>
    <n v="80"/>
    <n v="1"/>
    <n v="9"/>
    <n v="3"/>
    <n v="4"/>
    <n v="2"/>
    <n v="1"/>
    <n v="3"/>
  </r>
  <r>
    <s v="No"/>
    <s v="Travel_Rarely"/>
    <x v="0"/>
    <s v="Current Employees"/>
    <x v="0"/>
    <x v="0"/>
    <x v="1244"/>
    <x v="1244"/>
    <x v="1"/>
    <x v="0"/>
    <x v="1"/>
    <s v="No"/>
    <s v="Y"/>
    <n v="3"/>
    <n v="-2"/>
    <n v="0"/>
    <x v="8"/>
    <x v="1"/>
    <m/>
    <n v="0"/>
    <n v="1"/>
    <n v="1245"/>
    <n v="14"/>
    <x v="3"/>
    <n v="1"/>
    <n v="3"/>
    <n v="80"/>
    <n v="3"/>
    <n v="2"/>
    <n v="2"/>
    <n v="9924"/>
    <n v="12355"/>
    <n v="0"/>
    <n v="11"/>
    <n v="3"/>
    <n v="4"/>
    <n v="80"/>
    <n v="1"/>
    <n v="10"/>
    <n v="3"/>
    <n v="9"/>
    <n v="8"/>
    <n v="7"/>
    <n v="7"/>
  </r>
  <r>
    <s v="No"/>
    <s v="Travel_Rarely"/>
    <x v="2"/>
    <s v="Current Employees"/>
    <x v="0"/>
    <x v="0"/>
    <x v="1245"/>
    <x v="1245"/>
    <x v="1"/>
    <x v="0"/>
    <x v="1"/>
    <s v="No"/>
    <s v="Y"/>
    <n v="2"/>
    <n v="-2"/>
    <n v="0"/>
    <x v="5"/>
    <x v="1"/>
    <m/>
    <n v="0"/>
    <n v="1"/>
    <n v="371"/>
    <n v="19"/>
    <x v="3"/>
    <n v="1"/>
    <n v="4"/>
    <n v="80"/>
    <n v="1"/>
    <n v="3"/>
    <n v="3"/>
    <n v="9610"/>
    <n v="3840"/>
    <n v="3"/>
    <n v="13"/>
    <n v="3"/>
    <n v="3"/>
    <n v="80"/>
    <n v="1"/>
    <n v="10"/>
    <n v="1"/>
    <n v="4"/>
    <n v="3"/>
    <n v="0"/>
    <n v="2"/>
  </r>
  <r>
    <s v="No"/>
    <s v="Travel_Rarely"/>
    <x v="0"/>
    <s v="Current Employees"/>
    <x v="0"/>
    <x v="0"/>
    <x v="1246"/>
    <x v="1246"/>
    <x v="1"/>
    <x v="6"/>
    <x v="1"/>
    <s v="No"/>
    <s v="Y"/>
    <n v="3"/>
    <n v="-2"/>
    <n v="0"/>
    <x v="10"/>
    <x v="1"/>
    <m/>
    <n v="0"/>
    <n v="1"/>
    <n v="660"/>
    <n v="7"/>
    <x v="1"/>
    <n v="1"/>
    <n v="4"/>
    <n v="76"/>
    <n v="3"/>
    <n v="1"/>
    <n v="3"/>
    <n v="2404"/>
    <n v="16192"/>
    <n v="1"/>
    <n v="13"/>
    <n v="3"/>
    <n v="1"/>
    <n v="80"/>
    <n v="1"/>
    <n v="1"/>
    <n v="3"/>
    <n v="1"/>
    <n v="0"/>
    <n v="0"/>
    <n v="0"/>
  </r>
  <r>
    <s v="No"/>
    <s v="Travel_Rarely"/>
    <x v="2"/>
    <s v="Current Employees"/>
    <x v="0"/>
    <x v="3"/>
    <x v="1247"/>
    <x v="1247"/>
    <x v="1"/>
    <x v="0"/>
    <x v="1"/>
    <s v="No"/>
    <s v="Y"/>
    <n v="3"/>
    <n v="-2"/>
    <n v="0"/>
    <x v="5"/>
    <x v="1"/>
    <m/>
    <n v="0"/>
    <n v="1"/>
    <n v="601"/>
    <n v="7"/>
    <x v="4"/>
    <n v="1"/>
    <n v="4"/>
    <n v="97"/>
    <n v="3"/>
    <n v="2"/>
    <n v="2"/>
    <n v="9204"/>
    <n v="23343"/>
    <n v="4"/>
    <n v="12"/>
    <n v="3"/>
    <n v="3"/>
    <n v="80"/>
    <n v="1"/>
    <n v="7"/>
    <n v="2"/>
    <n v="4"/>
    <n v="3"/>
    <n v="0"/>
    <n v="3"/>
  </r>
  <r>
    <s v="No"/>
    <s v="Travel_Rarely"/>
    <x v="0"/>
    <s v="Current Employees"/>
    <x v="0"/>
    <x v="2"/>
    <x v="1248"/>
    <x v="1248"/>
    <x v="1"/>
    <x v="0"/>
    <x v="1"/>
    <s v="No"/>
    <s v="Y"/>
    <n v="3"/>
    <n v="-2"/>
    <n v="0"/>
    <x v="22"/>
    <x v="1"/>
    <m/>
    <n v="0"/>
    <n v="1"/>
    <n v="1462"/>
    <n v="6"/>
    <x v="3"/>
    <n v="1"/>
    <n v="4"/>
    <n v="38"/>
    <n v="4"/>
    <n v="3"/>
    <n v="3"/>
    <n v="8237"/>
    <n v="4658"/>
    <n v="2"/>
    <n v="11"/>
    <n v="3"/>
    <n v="1"/>
    <n v="80"/>
    <n v="1"/>
    <n v="11"/>
    <n v="3"/>
    <n v="7"/>
    <n v="6"/>
    <n v="7"/>
    <n v="6"/>
  </r>
  <r>
    <s v="No"/>
    <s v="Travel_Rarely"/>
    <x v="0"/>
    <s v="Current Employees"/>
    <x v="0"/>
    <x v="3"/>
    <x v="1249"/>
    <x v="1249"/>
    <x v="1"/>
    <x v="0"/>
    <x v="1"/>
    <s v="No"/>
    <s v="Y"/>
    <n v="2"/>
    <n v="-2"/>
    <n v="0"/>
    <x v="2"/>
    <x v="1"/>
    <m/>
    <n v="0"/>
    <n v="1"/>
    <n v="589"/>
    <n v="9"/>
    <x v="0"/>
    <n v="1"/>
    <n v="2"/>
    <n v="46"/>
    <n v="2"/>
    <n v="2"/>
    <n v="2"/>
    <n v="4189"/>
    <n v="8800"/>
    <n v="1"/>
    <n v="14"/>
    <n v="3"/>
    <n v="1"/>
    <n v="80"/>
    <n v="2"/>
    <n v="5"/>
    <n v="3"/>
    <n v="5"/>
    <n v="2"/>
    <n v="0"/>
    <n v="3"/>
  </r>
  <r>
    <s v="No"/>
    <s v="Travel_Rarely"/>
    <x v="0"/>
    <s v="Current Employees"/>
    <x v="0"/>
    <x v="3"/>
    <x v="1250"/>
    <x v="1250"/>
    <x v="1"/>
    <x v="0"/>
    <x v="1"/>
    <s v="No"/>
    <s v="Y"/>
    <n v="1"/>
    <n v="-2"/>
    <n v="0"/>
    <x v="9"/>
    <x v="1"/>
    <m/>
    <n v="0"/>
    <n v="1"/>
    <n v="335"/>
    <n v="17"/>
    <x v="0"/>
    <n v="1"/>
    <n v="3"/>
    <n v="33"/>
    <n v="2"/>
    <n v="2"/>
    <n v="2"/>
    <n v="5507"/>
    <n v="16822"/>
    <n v="2"/>
    <n v="16"/>
    <n v="3"/>
    <n v="3"/>
    <n v="80"/>
    <n v="2"/>
    <n v="12"/>
    <n v="1"/>
    <n v="4"/>
    <n v="2"/>
    <n v="1"/>
    <n v="3"/>
  </r>
  <r>
    <s v="No"/>
    <s v="Travel_Rarely"/>
    <x v="0"/>
    <s v="Current Employees"/>
    <x v="0"/>
    <x v="0"/>
    <x v="1251"/>
    <x v="1251"/>
    <x v="1"/>
    <x v="0"/>
    <x v="1"/>
    <s v="No"/>
    <s v="Y"/>
    <n v="3"/>
    <n v="-2"/>
    <n v="0"/>
    <x v="8"/>
    <x v="1"/>
    <m/>
    <n v="0"/>
    <n v="1"/>
    <n v="1321"/>
    <n v="1"/>
    <x v="2"/>
    <n v="1"/>
    <n v="4"/>
    <n v="86"/>
    <n v="3"/>
    <n v="2"/>
    <n v="2"/>
    <n v="4440"/>
    <n v="7636"/>
    <n v="0"/>
    <n v="15"/>
    <n v="3"/>
    <n v="1"/>
    <n v="80"/>
    <n v="2"/>
    <n v="16"/>
    <n v="3"/>
    <n v="15"/>
    <n v="13"/>
    <n v="5"/>
    <n v="8"/>
  </r>
  <r>
    <s v="No"/>
    <s v="Travel_Rarely"/>
    <x v="2"/>
    <s v="Current Employees"/>
    <x v="0"/>
    <x v="0"/>
    <x v="1252"/>
    <x v="1252"/>
    <x v="1"/>
    <x v="0"/>
    <x v="1"/>
    <s v="No"/>
    <s v="Y"/>
    <n v="2"/>
    <n v="-2"/>
    <n v="0"/>
    <x v="7"/>
    <x v="1"/>
    <m/>
    <n v="0"/>
    <n v="1"/>
    <n v="1358"/>
    <n v="16"/>
    <x v="1"/>
    <n v="1"/>
    <n v="4"/>
    <n v="96"/>
    <n v="3"/>
    <n v="2"/>
    <n v="3"/>
    <n v="5301"/>
    <n v="2939"/>
    <n v="8"/>
    <n v="15"/>
    <n v="3"/>
    <n v="3"/>
    <n v="80"/>
    <n v="2"/>
    <n v="4"/>
    <n v="2"/>
    <n v="2"/>
    <n v="1"/>
    <n v="2"/>
    <n v="2"/>
  </r>
  <r>
    <s v="No"/>
    <s v="Travel_Rarely"/>
    <x v="0"/>
    <s v="Current Employees"/>
    <x v="0"/>
    <x v="0"/>
    <x v="1253"/>
    <x v="1253"/>
    <x v="1"/>
    <x v="6"/>
    <x v="0"/>
    <s v="No"/>
    <s v="Y"/>
    <n v="3"/>
    <n v="-2"/>
    <n v="0"/>
    <x v="8"/>
    <x v="1"/>
    <m/>
    <n v="0"/>
    <n v="1"/>
    <n v="1404"/>
    <n v="1"/>
    <x v="3"/>
    <n v="1"/>
    <n v="1"/>
    <n v="59"/>
    <n v="2"/>
    <n v="1"/>
    <n v="1"/>
    <n v="2858"/>
    <n v="11473"/>
    <n v="4"/>
    <n v="14"/>
    <n v="3"/>
    <n v="1"/>
    <n v="80"/>
    <n v="0"/>
    <n v="20"/>
    <n v="2"/>
    <n v="1"/>
    <n v="0"/>
    <n v="0"/>
    <n v="0"/>
  </r>
  <r>
    <s v="No"/>
    <s v="Travel_Rarely"/>
    <x v="0"/>
    <s v="Current Employees"/>
    <x v="0"/>
    <x v="3"/>
    <x v="1254"/>
    <x v="1254"/>
    <x v="1"/>
    <x v="0"/>
    <x v="0"/>
    <s v="No"/>
    <s v="Y"/>
    <n v="3"/>
    <n v="-2"/>
    <n v="0"/>
    <x v="22"/>
    <x v="1"/>
    <m/>
    <n v="0"/>
    <n v="1"/>
    <n v="119"/>
    <n v="15"/>
    <x v="2"/>
    <n v="1"/>
    <n v="2"/>
    <n v="77"/>
    <n v="3"/>
    <n v="4"/>
    <n v="1"/>
    <n v="13341"/>
    <n v="25098"/>
    <n v="0"/>
    <n v="12"/>
    <n v="3"/>
    <n v="1"/>
    <n v="80"/>
    <n v="0"/>
    <n v="21"/>
    <n v="3"/>
    <n v="20"/>
    <n v="8"/>
    <n v="11"/>
    <n v="10"/>
  </r>
  <r>
    <s v="No"/>
    <s v="Travel_Rarely"/>
    <x v="0"/>
    <s v="Current Employees"/>
    <x v="0"/>
    <x v="2"/>
    <x v="1255"/>
    <x v="1255"/>
    <x v="1"/>
    <x v="5"/>
    <x v="0"/>
    <s v="No"/>
    <s v="Y"/>
    <n v="3"/>
    <n v="-2"/>
    <n v="0"/>
    <x v="32"/>
    <x v="1"/>
    <m/>
    <n v="0"/>
    <n v="1"/>
    <n v="611"/>
    <n v="7"/>
    <x v="2"/>
    <n v="1"/>
    <n v="2"/>
    <n v="88"/>
    <n v="3"/>
    <n v="5"/>
    <n v="2"/>
    <n v="19833"/>
    <n v="4349"/>
    <n v="1"/>
    <n v="14"/>
    <n v="3"/>
    <n v="2"/>
    <n v="80"/>
    <n v="0"/>
    <n v="21"/>
    <n v="2"/>
    <n v="21"/>
    <n v="8"/>
    <n v="12"/>
    <n v="8"/>
  </r>
  <r>
    <s v="No"/>
    <s v="Travel_Rarely"/>
    <x v="2"/>
    <s v="Current Employees"/>
    <x v="0"/>
    <x v="3"/>
    <x v="1256"/>
    <x v="1256"/>
    <x v="1"/>
    <x v="0"/>
    <x v="0"/>
    <s v="No"/>
    <s v="Y"/>
    <n v="2"/>
    <n v="-2"/>
    <n v="0"/>
    <x v="3"/>
    <x v="1"/>
    <m/>
    <n v="0"/>
    <n v="1"/>
    <n v="217"/>
    <n v="10"/>
    <x v="2"/>
    <n v="1"/>
    <n v="2"/>
    <n v="43"/>
    <n v="3"/>
    <n v="2"/>
    <n v="1"/>
    <n v="5487"/>
    <n v="10410"/>
    <n v="1"/>
    <n v="14"/>
    <n v="3"/>
    <n v="2"/>
    <n v="80"/>
    <n v="0"/>
    <n v="10"/>
    <n v="2"/>
    <n v="10"/>
    <n v="4"/>
    <n v="0"/>
    <n v="9"/>
  </r>
  <r>
    <s v="No"/>
    <s v="Travel_Rarely"/>
    <x v="2"/>
    <s v="Current Employees"/>
    <x v="0"/>
    <x v="2"/>
    <x v="1257"/>
    <x v="1257"/>
    <x v="1"/>
    <x v="0"/>
    <x v="0"/>
    <s v="No"/>
    <s v="Y"/>
    <n v="2"/>
    <n v="-2"/>
    <n v="0"/>
    <x v="11"/>
    <x v="1"/>
    <m/>
    <n v="0"/>
    <n v="1"/>
    <n v="469"/>
    <n v="10"/>
    <x v="3"/>
    <n v="1"/>
    <n v="3"/>
    <n v="42"/>
    <n v="2"/>
    <n v="2"/>
    <n v="3"/>
    <n v="5869"/>
    <n v="23413"/>
    <n v="9"/>
    <n v="11"/>
    <n v="3"/>
    <n v="3"/>
    <n v="80"/>
    <n v="0"/>
    <n v="8"/>
    <n v="3"/>
    <n v="5"/>
    <n v="2"/>
    <n v="1"/>
    <n v="4"/>
  </r>
  <r>
    <s v="No"/>
    <s v="Travel_Rarely"/>
    <x v="2"/>
    <s v="Current Employees"/>
    <x v="0"/>
    <x v="2"/>
    <x v="1258"/>
    <x v="1258"/>
    <x v="1"/>
    <x v="0"/>
    <x v="0"/>
    <s v="No"/>
    <s v="Y"/>
    <n v="4"/>
    <n v="-2"/>
    <n v="0"/>
    <x v="25"/>
    <x v="1"/>
    <m/>
    <n v="0"/>
    <n v="1"/>
    <n v="572"/>
    <n v="10"/>
    <x v="3"/>
    <n v="1"/>
    <n v="3"/>
    <n v="46"/>
    <n v="3"/>
    <n v="2"/>
    <n v="4"/>
    <n v="4684"/>
    <n v="9125"/>
    <n v="1"/>
    <n v="13"/>
    <n v="3"/>
    <n v="1"/>
    <n v="80"/>
    <n v="0"/>
    <n v="5"/>
    <n v="3"/>
    <n v="5"/>
    <n v="3"/>
    <n v="1"/>
    <n v="2"/>
  </r>
  <r>
    <s v="No"/>
    <s v="Travel_Rarely"/>
    <x v="2"/>
    <s v="Current Employees"/>
    <x v="0"/>
    <x v="1"/>
    <x v="1259"/>
    <x v="1259"/>
    <x v="1"/>
    <x v="0"/>
    <x v="0"/>
    <s v="No"/>
    <s v="Y"/>
    <n v="2"/>
    <n v="-2"/>
    <n v="0"/>
    <x v="13"/>
    <x v="1"/>
    <m/>
    <n v="0"/>
    <n v="1"/>
    <n v="1326"/>
    <n v="3"/>
    <x v="3"/>
    <n v="1"/>
    <n v="4"/>
    <n v="81"/>
    <n v="1"/>
    <n v="2"/>
    <n v="1"/>
    <n v="4759"/>
    <n v="15891"/>
    <n v="3"/>
    <n v="18"/>
    <n v="3"/>
    <n v="4"/>
    <n v="80"/>
    <n v="0"/>
    <n v="15"/>
    <n v="3"/>
    <n v="13"/>
    <n v="9"/>
    <n v="3"/>
    <n v="12"/>
  </r>
  <r>
    <s v="No"/>
    <s v="Travel_Rarely"/>
    <x v="4"/>
    <s v="Current Employees"/>
    <x v="0"/>
    <x v="0"/>
    <x v="1260"/>
    <x v="1260"/>
    <x v="1"/>
    <x v="6"/>
    <x v="0"/>
    <s v="No"/>
    <s v="Y"/>
    <n v="3"/>
    <n v="-2"/>
    <n v="0"/>
    <x v="35"/>
    <x v="1"/>
    <m/>
    <n v="0"/>
    <n v="1"/>
    <n v="727"/>
    <n v="9"/>
    <x v="1"/>
    <n v="1"/>
    <n v="4"/>
    <n v="54"/>
    <n v="3"/>
    <n v="1"/>
    <n v="1"/>
    <n v="2728"/>
    <n v="21082"/>
    <n v="1"/>
    <n v="11"/>
    <n v="3"/>
    <n v="1"/>
    <n v="80"/>
    <n v="0"/>
    <n v="2"/>
    <n v="3"/>
    <n v="2"/>
    <n v="2"/>
    <n v="0"/>
    <n v="2"/>
  </r>
  <r>
    <s v="No"/>
    <s v="Travel_Rarely"/>
    <x v="2"/>
    <s v="Current Employees"/>
    <x v="0"/>
    <x v="2"/>
    <x v="1261"/>
    <x v="1261"/>
    <x v="1"/>
    <x v="0"/>
    <x v="0"/>
    <s v="No"/>
    <s v="Y"/>
    <n v="4"/>
    <n v="-2"/>
    <n v="0"/>
    <x v="14"/>
    <x v="1"/>
    <m/>
    <n v="0"/>
    <n v="1"/>
    <n v="866"/>
    <n v="5"/>
    <x v="3"/>
    <n v="1"/>
    <n v="4"/>
    <n v="84"/>
    <n v="3"/>
    <n v="2"/>
    <n v="1"/>
    <n v="8463"/>
    <n v="23490"/>
    <n v="0"/>
    <n v="18"/>
    <n v="3"/>
    <n v="4"/>
    <n v="80"/>
    <n v="0"/>
    <n v="6"/>
    <n v="3"/>
    <n v="5"/>
    <n v="4"/>
    <n v="1"/>
    <n v="3"/>
  </r>
  <r>
    <s v="No"/>
    <s v="Travel_Rarely"/>
    <x v="0"/>
    <s v="Current Employees"/>
    <x v="0"/>
    <x v="3"/>
    <x v="1262"/>
    <x v="1262"/>
    <x v="1"/>
    <x v="0"/>
    <x v="0"/>
    <s v="No"/>
    <s v="Y"/>
    <n v="3"/>
    <n v="-2"/>
    <n v="0"/>
    <x v="0"/>
    <x v="1"/>
    <m/>
    <n v="0"/>
    <n v="1"/>
    <n v="918"/>
    <n v="6"/>
    <x v="3"/>
    <n v="1"/>
    <n v="4"/>
    <n v="35"/>
    <n v="3"/>
    <n v="3"/>
    <n v="1"/>
    <n v="9241"/>
    <n v="15869"/>
    <n v="1"/>
    <n v="12"/>
    <n v="3"/>
    <n v="2"/>
    <n v="80"/>
    <n v="0"/>
    <n v="10"/>
    <n v="3"/>
    <n v="10"/>
    <n v="8"/>
    <n v="8"/>
    <n v="7"/>
  </r>
  <r>
    <s v="No"/>
    <s v="Travel_Rarely"/>
    <x v="2"/>
    <s v="Current Employees"/>
    <x v="0"/>
    <x v="3"/>
    <x v="1263"/>
    <x v="1263"/>
    <x v="1"/>
    <x v="0"/>
    <x v="0"/>
    <s v="No"/>
    <s v="Y"/>
    <n v="5"/>
    <n v="-2"/>
    <n v="0"/>
    <x v="4"/>
    <x v="1"/>
    <m/>
    <n v="0"/>
    <n v="1"/>
    <n v="954"/>
    <n v="9"/>
    <x v="3"/>
    <n v="1"/>
    <n v="4"/>
    <n v="44"/>
    <n v="3"/>
    <n v="2"/>
    <n v="1"/>
    <n v="4105"/>
    <n v="5099"/>
    <n v="1"/>
    <n v="14"/>
    <n v="3"/>
    <n v="1"/>
    <n v="80"/>
    <n v="0"/>
    <n v="7"/>
    <n v="3"/>
    <n v="7"/>
    <n v="7"/>
    <n v="0"/>
    <n v="7"/>
  </r>
  <r>
    <s v="No"/>
    <s v="Travel_Rarely"/>
    <x v="1"/>
    <s v="Current Employees"/>
    <x v="0"/>
    <x v="0"/>
    <x v="1264"/>
    <x v="1264"/>
    <x v="1"/>
    <x v="5"/>
    <x v="0"/>
    <s v="No"/>
    <s v="Y"/>
    <n v="5"/>
    <n v="-2"/>
    <n v="0"/>
    <x v="21"/>
    <x v="1"/>
    <m/>
    <n v="0"/>
    <n v="1"/>
    <n v="563"/>
    <n v="1"/>
    <x v="2"/>
    <n v="1"/>
    <n v="4"/>
    <n v="56"/>
    <n v="4"/>
    <n v="4"/>
    <n v="1"/>
    <n v="17567"/>
    <n v="3156"/>
    <n v="1"/>
    <n v="15"/>
    <n v="3"/>
    <n v="2"/>
    <n v="80"/>
    <n v="0"/>
    <n v="27"/>
    <n v="1"/>
    <n v="26"/>
    <n v="0"/>
    <n v="0"/>
    <n v="12"/>
  </r>
  <r>
    <s v="No"/>
    <s v="Non-Travel"/>
    <x v="4"/>
    <s v="Current Employees"/>
    <x v="1"/>
    <x v="1"/>
    <x v="1265"/>
    <x v="1265"/>
    <x v="0"/>
    <x v="1"/>
    <x v="1"/>
    <s v="Yes"/>
    <s v="Y"/>
    <n v="2"/>
    <n v="-2"/>
    <n v="0"/>
    <x v="15"/>
    <x v="1"/>
    <m/>
    <n v="0"/>
    <n v="1"/>
    <n v="457"/>
    <n v="26"/>
    <x v="0"/>
    <n v="1"/>
    <n v="2"/>
    <n v="85"/>
    <n v="2"/>
    <n v="1"/>
    <n v="3"/>
    <n v="2814"/>
    <n v="10293"/>
    <n v="1"/>
    <n v="14"/>
    <n v="3"/>
    <n v="2"/>
    <n v="80"/>
    <n v="0"/>
    <n v="4"/>
    <n v="2"/>
    <n v="4"/>
    <n v="2"/>
    <n v="1"/>
    <n v="3"/>
  </r>
  <r>
    <s v="No"/>
    <s v="Travel_Frequently"/>
    <x v="0"/>
    <s v="Current Employees"/>
    <x v="1"/>
    <x v="2"/>
    <x v="1266"/>
    <x v="1266"/>
    <x v="0"/>
    <x v="1"/>
    <x v="2"/>
    <s v="Yes"/>
    <s v="Y"/>
    <n v="3"/>
    <n v="-2"/>
    <n v="0"/>
    <x v="8"/>
    <x v="1"/>
    <m/>
    <n v="0"/>
    <n v="1"/>
    <n v="1394"/>
    <n v="8"/>
    <x v="3"/>
    <n v="1"/>
    <n v="4"/>
    <n v="58"/>
    <n v="2"/>
    <n v="2"/>
    <n v="2"/>
    <n v="2133"/>
    <n v="18115"/>
    <n v="1"/>
    <n v="16"/>
    <n v="3"/>
    <n v="3"/>
    <n v="80"/>
    <n v="1"/>
    <n v="20"/>
    <n v="3"/>
    <n v="20"/>
    <n v="11"/>
    <n v="0"/>
    <n v="7"/>
  </r>
  <r>
    <s v="No"/>
    <s v="Travel_Frequently"/>
    <x v="4"/>
    <s v="Current Employees"/>
    <x v="1"/>
    <x v="4"/>
    <x v="1267"/>
    <x v="1267"/>
    <x v="0"/>
    <x v="1"/>
    <x v="0"/>
    <s v="Yes"/>
    <s v="Y"/>
    <n v="2"/>
    <n v="-2"/>
    <n v="0"/>
    <x v="17"/>
    <x v="1"/>
    <m/>
    <n v="0"/>
    <n v="1"/>
    <n v="567"/>
    <n v="2"/>
    <x v="1"/>
    <n v="1"/>
    <n v="4"/>
    <n v="32"/>
    <n v="3"/>
    <n v="1"/>
    <n v="4"/>
    <n v="3760"/>
    <n v="17218"/>
    <n v="1"/>
    <n v="13"/>
    <n v="3"/>
    <n v="3"/>
    <n v="80"/>
    <n v="0"/>
    <n v="6"/>
    <n v="3"/>
    <n v="6"/>
    <n v="3"/>
    <n v="1"/>
    <n v="3"/>
  </r>
  <r>
    <s v="No"/>
    <s v="Travel_Frequently"/>
    <x v="2"/>
    <s v="Current Employees"/>
    <x v="1"/>
    <x v="0"/>
    <x v="1268"/>
    <x v="1268"/>
    <x v="0"/>
    <x v="2"/>
    <x v="0"/>
    <s v="Yes"/>
    <s v="Y"/>
    <n v="3"/>
    <n v="-2"/>
    <n v="0"/>
    <x v="4"/>
    <x v="1"/>
    <m/>
    <n v="0"/>
    <n v="1"/>
    <n v="1297"/>
    <n v="5"/>
    <x v="0"/>
    <n v="1"/>
    <n v="4"/>
    <n v="53"/>
    <n v="3"/>
    <n v="1"/>
    <n v="4"/>
    <n v="2379"/>
    <n v="19826"/>
    <n v="0"/>
    <n v="14"/>
    <n v="3"/>
    <n v="3"/>
    <n v="80"/>
    <n v="0"/>
    <n v="6"/>
    <n v="2"/>
    <n v="5"/>
    <n v="4"/>
    <n v="0"/>
    <n v="2"/>
  </r>
  <r>
    <s v="No"/>
    <s v="Travel_Rarely"/>
    <x v="0"/>
    <s v="Current Employees"/>
    <x v="2"/>
    <x v="0"/>
    <x v="1269"/>
    <x v="1269"/>
    <x v="0"/>
    <x v="8"/>
    <x v="2"/>
    <s v="Yes"/>
    <s v="Y"/>
    <n v="2"/>
    <n v="-2"/>
    <n v="0"/>
    <x v="20"/>
    <x v="1"/>
    <m/>
    <n v="0"/>
    <n v="1"/>
    <n v="528"/>
    <n v="1"/>
    <x v="3"/>
    <n v="1"/>
    <n v="3"/>
    <n v="44"/>
    <n v="3"/>
    <n v="1"/>
    <n v="4"/>
    <n v="3195"/>
    <n v="4167"/>
    <n v="4"/>
    <n v="18"/>
    <n v="3"/>
    <n v="1"/>
    <n v="80"/>
    <n v="3"/>
    <n v="8"/>
    <n v="3"/>
    <n v="2"/>
    <n v="2"/>
    <n v="2"/>
    <n v="2"/>
  </r>
  <r>
    <s v="No"/>
    <s v="Travel_Rarely"/>
    <x v="0"/>
    <s v="Current Employees"/>
    <x v="2"/>
    <x v="0"/>
    <x v="1270"/>
    <x v="1270"/>
    <x v="0"/>
    <x v="8"/>
    <x v="0"/>
    <s v="Yes"/>
    <s v="Y"/>
    <n v="2"/>
    <n v="-2"/>
    <n v="0"/>
    <x v="10"/>
    <x v="1"/>
    <m/>
    <n v="0"/>
    <n v="1"/>
    <n v="1146"/>
    <n v="26"/>
    <x v="2"/>
    <n v="1"/>
    <n v="3"/>
    <n v="31"/>
    <n v="3"/>
    <n v="3"/>
    <n v="4"/>
    <n v="8837"/>
    <n v="16642"/>
    <n v="1"/>
    <n v="16"/>
    <n v="3"/>
    <n v="3"/>
    <n v="80"/>
    <n v="0"/>
    <n v="9"/>
    <n v="3"/>
    <n v="9"/>
    <n v="0"/>
    <n v="1"/>
    <n v="7"/>
  </r>
  <r>
    <s v="No"/>
    <s v="Travel_Rarely"/>
    <x v="0"/>
    <s v="Current Employees"/>
    <x v="1"/>
    <x v="2"/>
    <x v="1271"/>
    <x v="1271"/>
    <x v="0"/>
    <x v="7"/>
    <x v="2"/>
    <s v="Yes"/>
    <s v="Y"/>
    <n v="4"/>
    <n v="-2"/>
    <n v="0"/>
    <x v="20"/>
    <x v="1"/>
    <m/>
    <n v="0"/>
    <n v="1"/>
    <n v="1313"/>
    <n v="7"/>
    <x v="3"/>
    <n v="1"/>
    <n v="2"/>
    <n v="31"/>
    <n v="3"/>
    <n v="5"/>
    <n v="4"/>
    <n v="19049"/>
    <n v="3549"/>
    <n v="0"/>
    <n v="14"/>
    <n v="3"/>
    <n v="4"/>
    <n v="80"/>
    <n v="1"/>
    <n v="23"/>
    <n v="2"/>
    <n v="22"/>
    <n v="7"/>
    <n v="1"/>
    <n v="10"/>
  </r>
  <r>
    <s v="No"/>
    <s v="Travel_Rarely"/>
    <x v="1"/>
    <s v="Current Employees"/>
    <x v="1"/>
    <x v="0"/>
    <x v="1272"/>
    <x v="1272"/>
    <x v="0"/>
    <x v="3"/>
    <x v="2"/>
    <s v="Yes"/>
    <s v="Y"/>
    <n v="4"/>
    <n v="-2"/>
    <n v="0"/>
    <x v="40"/>
    <x v="1"/>
    <m/>
    <n v="0"/>
    <n v="1"/>
    <n v="1001"/>
    <n v="4"/>
    <x v="3"/>
    <n v="1"/>
    <n v="3"/>
    <n v="92"/>
    <n v="2"/>
    <n v="3"/>
    <n v="2"/>
    <n v="10333"/>
    <n v="19271"/>
    <n v="8"/>
    <n v="12"/>
    <n v="3"/>
    <n v="3"/>
    <n v="80"/>
    <n v="1"/>
    <n v="28"/>
    <n v="3"/>
    <n v="22"/>
    <n v="11"/>
    <n v="14"/>
    <n v="10"/>
  </r>
  <r>
    <s v="No"/>
    <s v="Travel_Rarely"/>
    <x v="1"/>
    <s v="Current Employees"/>
    <x v="1"/>
    <x v="2"/>
    <x v="1273"/>
    <x v="1273"/>
    <x v="0"/>
    <x v="2"/>
    <x v="2"/>
    <s v="Yes"/>
    <s v="Y"/>
    <n v="2"/>
    <n v="-2"/>
    <n v="0"/>
    <x v="1"/>
    <x v="1"/>
    <m/>
    <n v="0"/>
    <n v="1"/>
    <n v="464"/>
    <n v="16"/>
    <x v="3"/>
    <n v="1"/>
    <n v="4"/>
    <n v="74"/>
    <n v="3"/>
    <n v="1"/>
    <n v="1"/>
    <n v="2587"/>
    <n v="24941"/>
    <n v="4"/>
    <n v="16"/>
    <n v="3"/>
    <n v="2"/>
    <n v="80"/>
    <n v="1"/>
    <n v="17"/>
    <n v="2"/>
    <n v="2"/>
    <n v="2"/>
    <n v="2"/>
    <n v="2"/>
  </r>
  <r>
    <s v="No"/>
    <s v="Travel_Rarely"/>
    <x v="2"/>
    <s v="Current Employees"/>
    <x v="1"/>
    <x v="2"/>
    <x v="1274"/>
    <x v="1274"/>
    <x v="0"/>
    <x v="2"/>
    <x v="2"/>
    <s v="Yes"/>
    <s v="Y"/>
    <n v="4"/>
    <n v="-2"/>
    <n v="0"/>
    <x v="12"/>
    <x v="1"/>
    <m/>
    <n v="0"/>
    <n v="1"/>
    <n v="1276"/>
    <n v="2"/>
    <x v="1"/>
    <n v="1"/>
    <n v="4"/>
    <n v="59"/>
    <n v="1"/>
    <n v="1"/>
    <n v="4"/>
    <n v="1129"/>
    <n v="17536"/>
    <n v="1"/>
    <n v="11"/>
    <n v="3"/>
    <n v="3"/>
    <n v="80"/>
    <n v="3"/>
    <n v="1"/>
    <n v="3"/>
    <n v="1"/>
    <n v="0"/>
    <n v="0"/>
    <n v="0"/>
  </r>
  <r>
    <s v="No"/>
    <s v="Travel_Rarely"/>
    <x v="0"/>
    <s v="Current Employees"/>
    <x v="1"/>
    <x v="1"/>
    <x v="1275"/>
    <x v="1275"/>
    <x v="0"/>
    <x v="3"/>
    <x v="1"/>
    <s v="Yes"/>
    <s v="Y"/>
    <n v="2"/>
    <n v="-2"/>
    <n v="0"/>
    <x v="10"/>
    <x v="1"/>
    <m/>
    <n v="0"/>
    <n v="1"/>
    <n v="219"/>
    <n v="16"/>
    <x v="0"/>
    <n v="1"/>
    <n v="4"/>
    <n v="44"/>
    <n v="2"/>
    <n v="2"/>
    <n v="2"/>
    <n v="4788"/>
    <n v="25388"/>
    <n v="0"/>
    <n v="11"/>
    <n v="3"/>
    <n v="4"/>
    <n v="80"/>
    <n v="0"/>
    <n v="4"/>
    <n v="3"/>
    <n v="3"/>
    <n v="2"/>
    <n v="0"/>
    <n v="2"/>
  </r>
  <r>
    <s v="No"/>
    <s v="Travel_Rarely"/>
    <x v="2"/>
    <s v="Current Employees"/>
    <x v="1"/>
    <x v="0"/>
    <x v="1276"/>
    <x v="1276"/>
    <x v="0"/>
    <x v="1"/>
    <x v="1"/>
    <s v="Yes"/>
    <s v="Y"/>
    <n v="3"/>
    <n v="-2"/>
    <n v="0"/>
    <x v="25"/>
    <x v="1"/>
    <m/>
    <n v="0"/>
    <n v="1"/>
    <n v="482"/>
    <n v="1"/>
    <x v="0"/>
    <n v="1"/>
    <n v="2"/>
    <n v="90"/>
    <n v="2"/>
    <n v="1"/>
    <n v="3"/>
    <n v="2933"/>
    <n v="14908"/>
    <n v="1"/>
    <n v="13"/>
    <n v="3"/>
    <n v="3"/>
    <n v="80"/>
    <n v="1"/>
    <n v="1"/>
    <n v="2"/>
    <n v="1"/>
    <n v="0"/>
    <n v="1"/>
    <n v="0"/>
  </r>
  <r>
    <s v="No"/>
    <s v="Travel_Rarely"/>
    <x v="0"/>
    <s v="Current Employees"/>
    <x v="1"/>
    <x v="0"/>
    <x v="1277"/>
    <x v="1277"/>
    <x v="0"/>
    <x v="3"/>
    <x v="1"/>
    <s v="Yes"/>
    <s v="Y"/>
    <n v="3"/>
    <n v="-2"/>
    <n v="0"/>
    <x v="32"/>
    <x v="1"/>
    <m/>
    <n v="0"/>
    <n v="1"/>
    <n v="369"/>
    <n v="8"/>
    <x v="0"/>
    <n v="1"/>
    <n v="2"/>
    <n v="92"/>
    <n v="3"/>
    <n v="2"/>
    <n v="1"/>
    <n v="6516"/>
    <n v="5041"/>
    <n v="2"/>
    <n v="16"/>
    <n v="3"/>
    <n v="2"/>
    <n v="80"/>
    <n v="1"/>
    <n v="18"/>
    <n v="3"/>
    <n v="1"/>
    <n v="0"/>
    <n v="0"/>
    <n v="0"/>
  </r>
  <r>
    <s v="No"/>
    <s v="Travel_Rarely"/>
    <x v="2"/>
    <s v="Current Employees"/>
    <x v="1"/>
    <x v="2"/>
    <x v="1278"/>
    <x v="1278"/>
    <x v="0"/>
    <x v="4"/>
    <x v="1"/>
    <s v="Yes"/>
    <s v="Y"/>
    <n v="6"/>
    <n v="-2"/>
    <n v="0"/>
    <x v="3"/>
    <x v="1"/>
    <m/>
    <n v="0"/>
    <n v="1"/>
    <n v="501"/>
    <n v="15"/>
    <x v="0"/>
    <n v="1"/>
    <n v="2"/>
    <n v="95"/>
    <n v="3"/>
    <n v="2"/>
    <n v="4"/>
    <n v="4878"/>
    <n v="21653"/>
    <n v="0"/>
    <n v="13"/>
    <n v="3"/>
    <n v="1"/>
    <n v="80"/>
    <n v="1"/>
    <n v="10"/>
    <n v="3"/>
    <n v="9"/>
    <n v="7"/>
    <n v="8"/>
    <n v="1"/>
  </r>
  <r>
    <s v="No"/>
    <s v="Travel_Rarely"/>
    <x v="1"/>
    <s v="Current Employees"/>
    <x v="1"/>
    <x v="0"/>
    <x v="1279"/>
    <x v="1279"/>
    <x v="0"/>
    <x v="4"/>
    <x v="1"/>
    <s v="Yes"/>
    <s v="Y"/>
    <n v="3"/>
    <n v="-2"/>
    <n v="0"/>
    <x v="1"/>
    <x v="1"/>
    <m/>
    <n v="0"/>
    <n v="1"/>
    <n v="465"/>
    <n v="6"/>
    <x v="1"/>
    <n v="1"/>
    <n v="3"/>
    <n v="41"/>
    <n v="2"/>
    <n v="4"/>
    <n v="3"/>
    <n v="13966"/>
    <n v="11652"/>
    <n v="2"/>
    <n v="19"/>
    <n v="3"/>
    <n v="2"/>
    <n v="80"/>
    <n v="1"/>
    <n v="30"/>
    <n v="3"/>
    <n v="15"/>
    <n v="11"/>
    <n v="2"/>
    <n v="12"/>
  </r>
  <r>
    <s v="No"/>
    <s v="Travel_Rarely"/>
    <x v="0"/>
    <s v="Current Employees"/>
    <x v="1"/>
    <x v="0"/>
    <x v="1280"/>
    <x v="1280"/>
    <x v="0"/>
    <x v="4"/>
    <x v="1"/>
    <s v="Yes"/>
    <s v="Y"/>
    <n v="2"/>
    <n v="-2"/>
    <n v="0"/>
    <x v="20"/>
    <x v="1"/>
    <m/>
    <n v="0"/>
    <n v="1"/>
    <n v="921"/>
    <n v="2"/>
    <x v="3"/>
    <n v="1"/>
    <n v="3"/>
    <n v="96"/>
    <n v="4"/>
    <n v="3"/>
    <n v="4"/>
    <n v="7879"/>
    <n v="14810"/>
    <n v="1"/>
    <n v="19"/>
    <n v="3"/>
    <n v="2"/>
    <n v="80"/>
    <n v="1"/>
    <n v="9"/>
    <n v="3"/>
    <n v="8"/>
    <n v="7"/>
    <n v="6"/>
    <n v="7"/>
  </r>
  <r>
    <s v="No"/>
    <s v="Travel_Rarely"/>
    <x v="0"/>
    <s v="Current Employees"/>
    <x v="1"/>
    <x v="2"/>
    <x v="1281"/>
    <x v="1281"/>
    <x v="0"/>
    <x v="3"/>
    <x v="1"/>
    <s v="Yes"/>
    <s v="Y"/>
    <n v="6"/>
    <n v="-2"/>
    <n v="0"/>
    <x v="8"/>
    <x v="1"/>
    <m/>
    <n v="0"/>
    <n v="1"/>
    <n v="397"/>
    <n v="2"/>
    <x v="0"/>
    <n v="1"/>
    <n v="4"/>
    <n v="54"/>
    <n v="2"/>
    <n v="3"/>
    <n v="3"/>
    <n v="7756"/>
    <n v="14199"/>
    <n v="3"/>
    <n v="19"/>
    <n v="3"/>
    <n v="4"/>
    <n v="80"/>
    <n v="1"/>
    <n v="10"/>
    <n v="4"/>
    <n v="5"/>
    <n v="4"/>
    <n v="0"/>
    <n v="2"/>
  </r>
  <r>
    <s v="No"/>
    <s v="Travel_Rarely"/>
    <x v="0"/>
    <s v="Current Employees"/>
    <x v="1"/>
    <x v="0"/>
    <x v="1282"/>
    <x v="1282"/>
    <x v="0"/>
    <x v="3"/>
    <x v="1"/>
    <s v="Yes"/>
    <s v="Y"/>
    <n v="2"/>
    <n v="-2"/>
    <n v="0"/>
    <x v="9"/>
    <x v="1"/>
    <m/>
    <n v="0"/>
    <n v="1"/>
    <n v="559"/>
    <n v="12"/>
    <x v="2"/>
    <n v="1"/>
    <n v="3"/>
    <n v="76"/>
    <n v="3"/>
    <n v="2"/>
    <n v="3"/>
    <n v="4663"/>
    <n v="12421"/>
    <n v="9"/>
    <n v="12"/>
    <n v="3"/>
    <n v="2"/>
    <n v="80"/>
    <n v="2"/>
    <n v="7"/>
    <n v="3"/>
    <n v="3"/>
    <n v="2"/>
    <n v="1"/>
    <n v="1"/>
  </r>
  <r>
    <s v="No"/>
    <s v="Travel_Rarely"/>
    <x v="0"/>
    <s v="Current Employees"/>
    <x v="1"/>
    <x v="2"/>
    <x v="1283"/>
    <x v="1283"/>
    <x v="0"/>
    <x v="4"/>
    <x v="0"/>
    <s v="Yes"/>
    <s v="Y"/>
    <n v="4"/>
    <n v="-2"/>
    <n v="0"/>
    <x v="10"/>
    <x v="1"/>
    <m/>
    <n v="0"/>
    <n v="1"/>
    <n v="670"/>
    <n v="10"/>
    <x v="2"/>
    <n v="1"/>
    <n v="1"/>
    <n v="51"/>
    <n v="3"/>
    <n v="2"/>
    <n v="3"/>
    <n v="6142"/>
    <n v="4223"/>
    <n v="3"/>
    <n v="16"/>
    <n v="3"/>
    <n v="3"/>
    <n v="80"/>
    <n v="0"/>
    <n v="10"/>
    <n v="3"/>
    <n v="5"/>
    <n v="2"/>
    <n v="0"/>
    <n v="4"/>
  </r>
  <r>
    <s v="No"/>
    <s v="Travel_Rarely"/>
    <x v="1"/>
    <s v="Current Employees"/>
    <x v="1"/>
    <x v="2"/>
    <x v="1284"/>
    <x v="1284"/>
    <x v="0"/>
    <x v="2"/>
    <x v="0"/>
    <s v="Yes"/>
    <s v="Y"/>
    <n v="3"/>
    <n v="-2"/>
    <n v="0"/>
    <x v="28"/>
    <x v="1"/>
    <m/>
    <n v="0"/>
    <n v="1"/>
    <n v="1015"/>
    <n v="5"/>
    <x v="4"/>
    <n v="1"/>
    <n v="3"/>
    <n v="50"/>
    <n v="1"/>
    <n v="2"/>
    <n v="1"/>
    <n v="5769"/>
    <n v="23447"/>
    <n v="1"/>
    <n v="14"/>
    <n v="3"/>
    <n v="1"/>
    <n v="80"/>
    <n v="0"/>
    <n v="10"/>
    <n v="3"/>
    <n v="10"/>
    <n v="7"/>
    <n v="1"/>
    <n v="4"/>
  </r>
  <r>
    <s v="No"/>
    <s v="Travel_Rarely"/>
    <x v="1"/>
    <s v="Current Employees"/>
    <x v="1"/>
    <x v="2"/>
    <x v="1285"/>
    <x v="1285"/>
    <x v="0"/>
    <x v="3"/>
    <x v="0"/>
    <s v="Yes"/>
    <s v="Y"/>
    <n v="3"/>
    <n v="-2"/>
    <n v="0"/>
    <x v="33"/>
    <x v="1"/>
    <m/>
    <n v="0"/>
    <n v="1"/>
    <n v="157"/>
    <n v="10"/>
    <x v="3"/>
    <n v="1"/>
    <n v="3"/>
    <n v="77"/>
    <n v="3"/>
    <n v="2"/>
    <n v="1"/>
    <n v="4440"/>
    <n v="25198"/>
    <n v="6"/>
    <n v="19"/>
    <n v="3"/>
    <n v="4"/>
    <n v="80"/>
    <n v="0"/>
    <n v="9"/>
    <n v="3"/>
    <n v="5"/>
    <n v="2"/>
    <n v="1"/>
    <n v="4"/>
  </r>
  <r>
    <s v="No"/>
    <s v="Travel_Rarely"/>
    <x v="0"/>
    <s v="Current Employees"/>
    <x v="1"/>
    <x v="0"/>
    <x v="1286"/>
    <x v="1286"/>
    <x v="0"/>
    <x v="3"/>
    <x v="0"/>
    <s v="Yes"/>
    <s v="Y"/>
    <n v="2"/>
    <n v="-2"/>
    <n v="0"/>
    <x v="32"/>
    <x v="1"/>
    <m/>
    <n v="0"/>
    <n v="1"/>
    <n v="448"/>
    <n v="16"/>
    <x v="3"/>
    <n v="1"/>
    <n v="3"/>
    <n v="84"/>
    <n v="3"/>
    <n v="3"/>
    <n v="4"/>
    <n v="7945"/>
    <n v="19948"/>
    <n v="6"/>
    <n v="15"/>
    <n v="3"/>
    <n v="4"/>
    <n v="80"/>
    <n v="0"/>
    <n v="18"/>
    <n v="2"/>
    <n v="4"/>
    <n v="2"/>
    <n v="3"/>
    <n v="3"/>
  </r>
  <r>
    <s v="No"/>
    <s v="Travel_Rarely"/>
    <x v="0"/>
    <s v="Current Employees"/>
    <x v="0"/>
    <x v="3"/>
    <x v="1287"/>
    <x v="1287"/>
    <x v="0"/>
    <x v="0"/>
    <x v="2"/>
    <s v="Yes"/>
    <s v="Y"/>
    <n v="3"/>
    <n v="-2"/>
    <n v="0"/>
    <x v="0"/>
    <x v="1"/>
    <m/>
    <n v="0"/>
    <n v="1"/>
    <n v="796"/>
    <n v="4"/>
    <x v="1"/>
    <n v="1"/>
    <n v="3"/>
    <n v="81"/>
    <n v="3"/>
    <n v="3"/>
    <n v="1"/>
    <n v="10447"/>
    <n v="26458"/>
    <n v="0"/>
    <n v="13"/>
    <n v="3"/>
    <n v="4"/>
    <n v="80"/>
    <n v="1"/>
    <n v="23"/>
    <n v="4"/>
    <n v="22"/>
    <n v="14"/>
    <n v="13"/>
    <n v="5"/>
  </r>
  <r>
    <s v="No"/>
    <s v="Travel_Rarely"/>
    <x v="2"/>
    <s v="Current Employees"/>
    <x v="0"/>
    <x v="2"/>
    <x v="1288"/>
    <x v="1288"/>
    <x v="0"/>
    <x v="0"/>
    <x v="2"/>
    <s v="Yes"/>
    <s v="Y"/>
    <n v="2"/>
    <n v="-2"/>
    <n v="0"/>
    <x v="12"/>
    <x v="1"/>
    <m/>
    <n v="0"/>
    <n v="1"/>
    <n v="1079"/>
    <n v="10"/>
    <x v="0"/>
    <n v="1"/>
    <n v="3"/>
    <n v="86"/>
    <n v="3"/>
    <n v="2"/>
    <n v="4"/>
    <n v="6583"/>
    <n v="20115"/>
    <n v="2"/>
    <n v="11"/>
    <n v="3"/>
    <n v="4"/>
    <n v="80"/>
    <n v="1"/>
    <n v="8"/>
    <n v="3"/>
    <n v="5"/>
    <n v="2"/>
    <n v="1"/>
    <n v="4"/>
  </r>
  <r>
    <s v="No"/>
    <s v="Travel_Rarely"/>
    <x v="0"/>
    <s v="Current Employees"/>
    <x v="0"/>
    <x v="0"/>
    <x v="1289"/>
    <x v="1289"/>
    <x v="0"/>
    <x v="0"/>
    <x v="1"/>
    <s v="Yes"/>
    <s v="Y"/>
    <n v="2"/>
    <n v="-2"/>
    <n v="0"/>
    <x v="10"/>
    <x v="1"/>
    <m/>
    <n v="0"/>
    <n v="1"/>
    <n v="1224"/>
    <n v="7"/>
    <x v="2"/>
    <n v="1"/>
    <n v="3"/>
    <n v="55"/>
    <n v="3"/>
    <n v="2"/>
    <n v="4"/>
    <n v="5204"/>
    <n v="13586"/>
    <n v="1"/>
    <n v="11"/>
    <n v="3"/>
    <n v="4"/>
    <n v="80"/>
    <n v="0"/>
    <n v="10"/>
    <n v="3"/>
    <n v="10"/>
    <n v="8"/>
    <n v="0"/>
    <n v="9"/>
  </r>
  <r>
    <s v="No"/>
    <s v="Travel_Rarely"/>
    <x v="2"/>
    <s v="Current Employees"/>
    <x v="0"/>
    <x v="2"/>
    <x v="1290"/>
    <x v="1290"/>
    <x v="0"/>
    <x v="0"/>
    <x v="1"/>
    <s v="Yes"/>
    <s v="Y"/>
    <n v="3"/>
    <n v="-2"/>
    <n v="0"/>
    <x v="13"/>
    <x v="1"/>
    <m/>
    <n v="0"/>
    <n v="1"/>
    <n v="735"/>
    <n v="3"/>
    <x v="1"/>
    <n v="1"/>
    <n v="4"/>
    <n v="75"/>
    <n v="2"/>
    <n v="2"/>
    <n v="4"/>
    <n v="8103"/>
    <n v="16495"/>
    <n v="3"/>
    <n v="12"/>
    <n v="3"/>
    <n v="3"/>
    <n v="80"/>
    <n v="0"/>
    <n v="9"/>
    <n v="2"/>
    <n v="4"/>
    <n v="2"/>
    <n v="0"/>
    <n v="1"/>
  </r>
  <r>
    <s v="No"/>
    <s v="Travel_Rarely"/>
    <x v="0"/>
    <s v="Current Employees"/>
    <x v="0"/>
    <x v="4"/>
    <x v="1291"/>
    <x v="1291"/>
    <x v="0"/>
    <x v="0"/>
    <x v="1"/>
    <s v="Yes"/>
    <s v="Y"/>
    <n v="4"/>
    <n v="-2"/>
    <n v="0"/>
    <x v="9"/>
    <x v="1"/>
    <m/>
    <n v="0"/>
    <n v="1"/>
    <n v="1266"/>
    <n v="10"/>
    <x v="2"/>
    <n v="1"/>
    <n v="4"/>
    <n v="63"/>
    <n v="2"/>
    <n v="2"/>
    <n v="4"/>
    <n v="5673"/>
    <n v="6060"/>
    <n v="1"/>
    <n v="13"/>
    <n v="3"/>
    <n v="1"/>
    <n v="80"/>
    <n v="1"/>
    <n v="10"/>
    <n v="3"/>
    <n v="10"/>
    <n v="9"/>
    <n v="1"/>
    <n v="7"/>
  </r>
  <r>
    <s v="No"/>
    <s v="Travel_Rarely"/>
    <x v="1"/>
    <s v="Current Employees"/>
    <x v="0"/>
    <x v="2"/>
    <x v="1292"/>
    <x v="1292"/>
    <x v="0"/>
    <x v="0"/>
    <x v="1"/>
    <s v="Yes"/>
    <s v="Y"/>
    <n v="4"/>
    <n v="-2"/>
    <n v="0"/>
    <x v="40"/>
    <x v="1"/>
    <m/>
    <n v="0"/>
    <n v="1"/>
    <n v="571"/>
    <n v="14"/>
    <x v="3"/>
    <n v="1"/>
    <n v="3"/>
    <n v="78"/>
    <n v="3"/>
    <n v="2"/>
    <n v="3"/>
    <n v="4591"/>
    <n v="24200"/>
    <n v="3"/>
    <n v="17"/>
    <n v="3"/>
    <n v="3"/>
    <n v="80"/>
    <n v="1"/>
    <n v="11"/>
    <n v="2"/>
    <n v="5"/>
    <n v="4"/>
    <n v="1"/>
    <n v="2"/>
  </r>
  <r>
    <s v="No"/>
    <s v="Travel_Rarely"/>
    <x v="3"/>
    <s v="Current Employees"/>
    <x v="0"/>
    <x v="0"/>
    <x v="1293"/>
    <x v="1293"/>
    <x v="0"/>
    <x v="5"/>
    <x v="1"/>
    <s v="Yes"/>
    <s v="Y"/>
    <n v="2"/>
    <n v="-2"/>
    <n v="0"/>
    <x v="34"/>
    <x v="1"/>
    <m/>
    <n v="0"/>
    <n v="1"/>
    <n v="605"/>
    <n v="21"/>
    <x v="3"/>
    <n v="1"/>
    <n v="4"/>
    <n v="72"/>
    <n v="3"/>
    <n v="4"/>
    <n v="4"/>
    <n v="17875"/>
    <n v="11761"/>
    <n v="4"/>
    <n v="13"/>
    <n v="3"/>
    <n v="3"/>
    <n v="80"/>
    <n v="1"/>
    <n v="29"/>
    <n v="2"/>
    <n v="1"/>
    <n v="0"/>
    <n v="0"/>
    <n v="0"/>
  </r>
  <r>
    <s v="No"/>
    <s v="Travel_Rarely"/>
    <x v="4"/>
    <s v="Current Employees"/>
    <x v="0"/>
    <x v="2"/>
    <x v="1294"/>
    <x v="1294"/>
    <x v="0"/>
    <x v="0"/>
    <x v="1"/>
    <s v="Yes"/>
    <s v="Y"/>
    <n v="3"/>
    <n v="-2"/>
    <n v="0"/>
    <x v="17"/>
    <x v="1"/>
    <m/>
    <n v="0"/>
    <n v="1"/>
    <n v="1476"/>
    <n v="4"/>
    <x v="1"/>
    <n v="1"/>
    <n v="4"/>
    <n v="42"/>
    <n v="3"/>
    <n v="2"/>
    <n v="3"/>
    <n v="4162"/>
    <n v="15211"/>
    <n v="1"/>
    <n v="12"/>
    <n v="3"/>
    <n v="3"/>
    <n v="80"/>
    <n v="2"/>
    <n v="5"/>
    <n v="3"/>
    <n v="5"/>
    <n v="4"/>
    <n v="0"/>
    <n v="3"/>
  </r>
  <r>
    <s v="No"/>
    <s v="Travel_Rarely"/>
    <x v="0"/>
    <s v="Current Employees"/>
    <x v="0"/>
    <x v="3"/>
    <x v="1295"/>
    <x v="1295"/>
    <x v="0"/>
    <x v="0"/>
    <x v="0"/>
    <s v="Yes"/>
    <s v="Y"/>
    <n v="3"/>
    <n v="-2"/>
    <n v="0"/>
    <x v="9"/>
    <x v="1"/>
    <m/>
    <n v="0"/>
    <n v="1"/>
    <n v="1174"/>
    <n v="3"/>
    <x v="2"/>
    <n v="1"/>
    <n v="1"/>
    <n v="99"/>
    <n v="3"/>
    <n v="2"/>
    <n v="1"/>
    <n v="9278"/>
    <n v="20763"/>
    <n v="3"/>
    <n v="16"/>
    <n v="3"/>
    <n v="4"/>
    <n v="80"/>
    <n v="0"/>
    <n v="15"/>
    <n v="3"/>
    <n v="5"/>
    <n v="4"/>
    <n v="0"/>
    <n v="1"/>
  </r>
  <r>
    <s v="No"/>
    <s v="Non-Travel"/>
    <x v="0"/>
    <s v="Current Employees"/>
    <x v="1"/>
    <x v="0"/>
    <x v="1296"/>
    <x v="1296"/>
    <x v="1"/>
    <x v="4"/>
    <x v="2"/>
    <s v="Yes"/>
    <s v="Y"/>
    <n v="2"/>
    <n v="-2"/>
    <n v="0"/>
    <x v="32"/>
    <x v="1"/>
    <m/>
    <n v="0"/>
    <n v="1"/>
    <n v="1142"/>
    <n v="8"/>
    <x v="0"/>
    <n v="1"/>
    <n v="4"/>
    <n v="72"/>
    <n v="3"/>
    <n v="2"/>
    <n v="4"/>
    <n v="4069"/>
    <n v="8841"/>
    <n v="3"/>
    <n v="18"/>
    <n v="3"/>
    <n v="3"/>
    <n v="80"/>
    <n v="0"/>
    <n v="8"/>
    <n v="3"/>
    <n v="2"/>
    <n v="2"/>
    <n v="2"/>
    <n v="2"/>
  </r>
  <r>
    <s v="No"/>
    <s v="Non-Travel"/>
    <x v="2"/>
    <s v="Current Employees"/>
    <x v="1"/>
    <x v="2"/>
    <x v="1297"/>
    <x v="1297"/>
    <x v="1"/>
    <x v="1"/>
    <x v="2"/>
    <s v="Yes"/>
    <s v="Y"/>
    <n v="3"/>
    <n v="-2"/>
    <n v="0"/>
    <x v="12"/>
    <x v="1"/>
    <m/>
    <n v="0"/>
    <n v="1"/>
    <n v="976"/>
    <n v="3"/>
    <x v="0"/>
    <n v="1"/>
    <n v="3"/>
    <n v="48"/>
    <n v="3"/>
    <n v="1"/>
    <n v="1"/>
    <n v="3065"/>
    <n v="3995"/>
    <n v="1"/>
    <n v="13"/>
    <n v="3"/>
    <n v="4"/>
    <n v="80"/>
    <n v="1"/>
    <n v="4"/>
    <n v="4"/>
    <n v="4"/>
    <n v="2"/>
    <n v="2"/>
    <n v="3"/>
  </r>
  <r>
    <s v="No"/>
    <s v="Non-Travel"/>
    <x v="0"/>
    <s v="Current Employees"/>
    <x v="1"/>
    <x v="0"/>
    <x v="1298"/>
    <x v="1298"/>
    <x v="1"/>
    <x v="2"/>
    <x v="1"/>
    <s v="Yes"/>
    <s v="Y"/>
    <n v="2"/>
    <n v="-2"/>
    <n v="0"/>
    <x v="22"/>
    <x v="1"/>
    <m/>
    <n v="0"/>
    <n v="1"/>
    <n v="792"/>
    <n v="1"/>
    <x v="3"/>
    <n v="1"/>
    <n v="4"/>
    <n v="77"/>
    <n v="3"/>
    <n v="2"/>
    <n v="4"/>
    <n v="6472"/>
    <n v="8989"/>
    <n v="1"/>
    <n v="15"/>
    <n v="3"/>
    <n v="4"/>
    <n v="80"/>
    <n v="1"/>
    <n v="9"/>
    <n v="3"/>
    <n v="9"/>
    <n v="8"/>
    <n v="5"/>
    <n v="8"/>
  </r>
  <r>
    <s v="No"/>
    <s v="Non-Travel"/>
    <x v="2"/>
    <s v="Current Employees"/>
    <x v="0"/>
    <x v="0"/>
    <x v="1299"/>
    <x v="1299"/>
    <x v="1"/>
    <x v="0"/>
    <x v="2"/>
    <s v="Yes"/>
    <s v="Y"/>
    <n v="3"/>
    <n v="-2"/>
    <n v="0"/>
    <x v="13"/>
    <x v="1"/>
    <m/>
    <n v="0"/>
    <n v="1"/>
    <n v="1375"/>
    <n v="10"/>
    <x v="3"/>
    <n v="1"/>
    <n v="4"/>
    <n v="87"/>
    <n v="3"/>
    <n v="2"/>
    <n v="3"/>
    <n v="4001"/>
    <n v="12313"/>
    <n v="1"/>
    <n v="14"/>
    <n v="3"/>
    <n v="3"/>
    <n v="80"/>
    <n v="1"/>
    <n v="15"/>
    <n v="3"/>
    <n v="15"/>
    <n v="14"/>
    <n v="0"/>
    <n v="7"/>
  </r>
  <r>
    <s v="No"/>
    <s v="Travel_Frequently"/>
    <x v="0"/>
    <s v="Current Employees"/>
    <x v="2"/>
    <x v="5"/>
    <x v="1300"/>
    <x v="1300"/>
    <x v="1"/>
    <x v="8"/>
    <x v="1"/>
    <s v="Yes"/>
    <s v="Y"/>
    <n v="3"/>
    <n v="-2"/>
    <n v="0"/>
    <x v="20"/>
    <x v="1"/>
    <m/>
    <n v="0"/>
    <n v="1"/>
    <n v="602"/>
    <n v="1"/>
    <x v="4"/>
    <n v="1"/>
    <n v="1"/>
    <n v="37"/>
    <n v="3"/>
    <n v="2"/>
    <n v="4"/>
    <n v="5743"/>
    <n v="10503"/>
    <n v="4"/>
    <n v="11"/>
    <n v="3"/>
    <n v="3"/>
    <n v="80"/>
    <n v="0"/>
    <n v="14"/>
    <n v="3"/>
    <n v="10"/>
    <n v="7"/>
    <n v="0"/>
    <n v="2"/>
  </r>
  <r>
    <s v="No"/>
    <s v="Travel_Frequently"/>
    <x v="0"/>
    <s v="Current Employees"/>
    <x v="2"/>
    <x v="1"/>
    <x v="1301"/>
    <x v="1301"/>
    <x v="1"/>
    <x v="8"/>
    <x v="1"/>
    <s v="Yes"/>
    <s v="Y"/>
    <n v="2"/>
    <n v="-2"/>
    <n v="0"/>
    <x v="8"/>
    <x v="1"/>
    <m/>
    <n v="0"/>
    <n v="1"/>
    <n v="1444"/>
    <n v="1"/>
    <x v="2"/>
    <n v="1"/>
    <n v="4"/>
    <n v="88"/>
    <n v="3"/>
    <n v="1"/>
    <n v="2"/>
    <n v="2991"/>
    <n v="5224"/>
    <n v="0"/>
    <n v="11"/>
    <n v="3"/>
    <n v="2"/>
    <n v="80"/>
    <n v="1"/>
    <n v="7"/>
    <n v="3"/>
    <n v="6"/>
    <n v="2"/>
    <n v="1"/>
    <n v="2"/>
  </r>
  <r>
    <s v="No"/>
    <s v="Travel_Frequently"/>
    <x v="3"/>
    <s v="Current Employees"/>
    <x v="1"/>
    <x v="0"/>
    <x v="1302"/>
    <x v="1302"/>
    <x v="1"/>
    <x v="7"/>
    <x v="1"/>
    <s v="Yes"/>
    <s v="Y"/>
    <n v="3"/>
    <n v="-2"/>
    <n v="0"/>
    <x v="34"/>
    <x v="1"/>
    <m/>
    <n v="0"/>
    <n v="1"/>
    <n v="1216"/>
    <n v="15"/>
    <x v="2"/>
    <n v="1"/>
    <n v="1"/>
    <n v="87"/>
    <n v="3"/>
    <n v="4"/>
    <n v="3"/>
    <n v="15787"/>
    <n v="21624"/>
    <n v="2"/>
    <n v="14"/>
    <n v="3"/>
    <n v="2"/>
    <n v="80"/>
    <n v="0"/>
    <n v="23"/>
    <n v="3"/>
    <n v="2"/>
    <n v="2"/>
    <n v="2"/>
    <n v="2"/>
  </r>
  <r>
    <s v="No"/>
    <s v="Travel_Frequently"/>
    <x v="2"/>
    <s v="Current Employees"/>
    <x v="1"/>
    <x v="1"/>
    <x v="1303"/>
    <x v="1303"/>
    <x v="1"/>
    <x v="1"/>
    <x v="1"/>
    <s v="Yes"/>
    <s v="Y"/>
    <n v="3"/>
    <n v="-2"/>
    <n v="0"/>
    <x v="13"/>
    <x v="1"/>
    <m/>
    <n v="0"/>
    <n v="1"/>
    <n v="735"/>
    <n v="22"/>
    <x v="2"/>
    <n v="1"/>
    <n v="3"/>
    <n v="86"/>
    <n v="2"/>
    <n v="2"/>
    <n v="4"/>
    <n v="5747"/>
    <n v="26496"/>
    <n v="1"/>
    <n v="15"/>
    <n v="3"/>
    <n v="2"/>
    <n v="80"/>
    <n v="0"/>
    <n v="16"/>
    <n v="3"/>
    <n v="15"/>
    <n v="10"/>
    <n v="6"/>
    <n v="11"/>
  </r>
  <r>
    <s v="No"/>
    <s v="Travel_Frequently"/>
    <x v="0"/>
    <s v="Current Employees"/>
    <x v="1"/>
    <x v="0"/>
    <x v="1304"/>
    <x v="1304"/>
    <x v="1"/>
    <x v="2"/>
    <x v="1"/>
    <s v="Yes"/>
    <s v="Y"/>
    <n v="3"/>
    <n v="-2"/>
    <n v="0"/>
    <x v="9"/>
    <x v="1"/>
    <m/>
    <n v="0"/>
    <n v="1"/>
    <n v="1302"/>
    <n v="6"/>
    <x v="2"/>
    <n v="1"/>
    <n v="1"/>
    <n v="80"/>
    <n v="4"/>
    <n v="2"/>
    <n v="1"/>
    <n v="5562"/>
    <n v="19711"/>
    <n v="3"/>
    <n v="13"/>
    <n v="3"/>
    <n v="4"/>
    <n v="80"/>
    <n v="1"/>
    <n v="9"/>
    <n v="3"/>
    <n v="3"/>
    <n v="2"/>
    <n v="0"/>
    <n v="2"/>
  </r>
  <r>
    <s v="No"/>
    <s v="Travel_Frequently"/>
    <x v="1"/>
    <s v="Current Employees"/>
    <x v="1"/>
    <x v="2"/>
    <x v="1305"/>
    <x v="1305"/>
    <x v="1"/>
    <x v="4"/>
    <x v="1"/>
    <s v="Yes"/>
    <s v="Y"/>
    <n v="3"/>
    <n v="-2"/>
    <n v="0"/>
    <x v="24"/>
    <x v="1"/>
    <m/>
    <n v="0"/>
    <n v="1"/>
    <n v="1234"/>
    <n v="20"/>
    <x v="4"/>
    <n v="1"/>
    <n v="2"/>
    <n v="41"/>
    <n v="3"/>
    <n v="4"/>
    <n v="3"/>
    <n v="11245"/>
    <n v="20689"/>
    <n v="2"/>
    <n v="15"/>
    <n v="3"/>
    <n v="3"/>
    <n v="80"/>
    <n v="1"/>
    <n v="32"/>
    <n v="3"/>
    <n v="30"/>
    <n v="8"/>
    <n v="12"/>
    <n v="13"/>
  </r>
  <r>
    <s v="No"/>
    <s v="Travel_Frequently"/>
    <x v="0"/>
    <s v="Current Employees"/>
    <x v="1"/>
    <x v="0"/>
    <x v="1306"/>
    <x v="1306"/>
    <x v="1"/>
    <x v="4"/>
    <x v="1"/>
    <s v="Yes"/>
    <s v="Y"/>
    <n v="3"/>
    <n v="-2"/>
    <n v="0"/>
    <x v="19"/>
    <x v="1"/>
    <m/>
    <n v="0"/>
    <n v="1"/>
    <n v="288"/>
    <n v="2"/>
    <x v="3"/>
    <n v="1"/>
    <n v="4"/>
    <n v="40"/>
    <n v="3"/>
    <n v="3"/>
    <n v="4"/>
    <n v="10124"/>
    <n v="18611"/>
    <n v="2"/>
    <n v="14"/>
    <n v="3"/>
    <n v="3"/>
    <n v="80"/>
    <n v="1"/>
    <n v="24"/>
    <n v="1"/>
    <n v="20"/>
    <n v="8"/>
    <n v="13"/>
    <n v="9"/>
  </r>
  <r>
    <s v="No"/>
    <s v="Travel_Frequently"/>
    <x v="0"/>
    <s v="Current Employees"/>
    <x v="1"/>
    <x v="0"/>
    <x v="1307"/>
    <x v="1307"/>
    <x v="1"/>
    <x v="4"/>
    <x v="1"/>
    <s v="Yes"/>
    <s v="Y"/>
    <n v="2"/>
    <n v="-2"/>
    <n v="0"/>
    <x v="10"/>
    <x v="1"/>
    <m/>
    <n v="0"/>
    <n v="1"/>
    <n v="1199"/>
    <n v="18"/>
    <x v="2"/>
    <n v="1"/>
    <n v="3"/>
    <n v="80"/>
    <n v="3"/>
    <n v="2"/>
    <n v="3"/>
    <n v="5689"/>
    <n v="24594"/>
    <n v="1"/>
    <n v="14"/>
    <n v="3"/>
    <n v="4"/>
    <n v="80"/>
    <n v="2"/>
    <n v="10"/>
    <n v="4"/>
    <n v="10"/>
    <n v="2"/>
    <n v="0"/>
    <n v="2"/>
  </r>
  <r>
    <s v="No"/>
    <s v="Travel_Frequently"/>
    <x v="0"/>
    <s v="Current Employees"/>
    <x v="1"/>
    <x v="2"/>
    <x v="1308"/>
    <x v="1308"/>
    <x v="1"/>
    <x v="1"/>
    <x v="0"/>
    <s v="Yes"/>
    <s v="Y"/>
    <n v="2"/>
    <n v="-2"/>
    <n v="0"/>
    <x v="10"/>
    <x v="1"/>
    <m/>
    <n v="0"/>
    <n v="1"/>
    <n v="146"/>
    <n v="2"/>
    <x v="2"/>
    <n v="1"/>
    <n v="1"/>
    <n v="79"/>
    <n v="2"/>
    <n v="1"/>
    <n v="4"/>
    <n v="4930"/>
    <n v="13970"/>
    <n v="0"/>
    <n v="14"/>
    <n v="3"/>
    <n v="3"/>
    <n v="80"/>
    <n v="0"/>
    <n v="6"/>
    <n v="4"/>
    <n v="5"/>
    <n v="4"/>
    <n v="1"/>
    <n v="4"/>
  </r>
  <r>
    <s v="No"/>
    <s v="Travel_Frequently"/>
    <x v="0"/>
    <s v="Current Employees"/>
    <x v="1"/>
    <x v="2"/>
    <x v="1309"/>
    <x v="1309"/>
    <x v="1"/>
    <x v="3"/>
    <x v="0"/>
    <s v="Yes"/>
    <s v="Y"/>
    <n v="2"/>
    <n v="-2"/>
    <n v="0"/>
    <x v="20"/>
    <x v="1"/>
    <m/>
    <n v="0"/>
    <n v="1"/>
    <n v="1193"/>
    <n v="2"/>
    <x v="1"/>
    <n v="1"/>
    <n v="2"/>
    <n v="86"/>
    <n v="3"/>
    <n v="3"/>
    <n v="3"/>
    <n v="10209"/>
    <n v="19719"/>
    <n v="5"/>
    <n v="18"/>
    <n v="3"/>
    <n v="2"/>
    <n v="80"/>
    <n v="0"/>
    <n v="16"/>
    <n v="2"/>
    <n v="2"/>
    <n v="2"/>
    <n v="2"/>
    <n v="2"/>
  </r>
  <r>
    <s v="No"/>
    <s v="Travel_Frequently"/>
    <x v="1"/>
    <s v="Current Employees"/>
    <x v="1"/>
    <x v="2"/>
    <x v="1310"/>
    <x v="1310"/>
    <x v="1"/>
    <x v="7"/>
    <x v="0"/>
    <s v="Yes"/>
    <s v="Y"/>
    <n v="2"/>
    <n v="-2"/>
    <n v="0"/>
    <x v="24"/>
    <x v="1"/>
    <m/>
    <n v="0"/>
    <n v="1"/>
    <n v="333"/>
    <n v="22"/>
    <x v="4"/>
    <n v="1"/>
    <n v="3"/>
    <n v="88"/>
    <n v="1"/>
    <n v="4"/>
    <n v="4"/>
    <n v="14411"/>
    <n v="24450"/>
    <n v="1"/>
    <n v="13"/>
    <n v="3"/>
    <n v="4"/>
    <n v="80"/>
    <n v="0"/>
    <n v="32"/>
    <n v="3"/>
    <n v="32"/>
    <n v="6"/>
    <n v="13"/>
    <n v="9"/>
  </r>
  <r>
    <s v="No"/>
    <s v="Travel_Frequently"/>
    <x v="2"/>
    <s v="Current Employees"/>
    <x v="1"/>
    <x v="0"/>
    <x v="1311"/>
    <x v="1311"/>
    <x v="1"/>
    <x v="4"/>
    <x v="0"/>
    <s v="Yes"/>
    <s v="Y"/>
    <n v="5"/>
    <n v="-2"/>
    <n v="0"/>
    <x v="11"/>
    <x v="1"/>
    <m/>
    <n v="0"/>
    <n v="1"/>
    <n v="461"/>
    <n v="1"/>
    <x v="3"/>
    <n v="1"/>
    <n v="4"/>
    <n v="70"/>
    <n v="4"/>
    <n v="2"/>
    <n v="3"/>
    <n v="6294"/>
    <n v="23060"/>
    <n v="8"/>
    <n v="12"/>
    <n v="3"/>
    <n v="4"/>
    <n v="80"/>
    <n v="0"/>
    <n v="10"/>
    <n v="4"/>
    <n v="3"/>
    <n v="2"/>
    <n v="0"/>
    <n v="2"/>
  </r>
  <r>
    <s v="No"/>
    <s v="Travel_Frequently"/>
    <x v="2"/>
    <s v="Current Employees"/>
    <x v="0"/>
    <x v="0"/>
    <x v="1312"/>
    <x v="1312"/>
    <x v="1"/>
    <x v="0"/>
    <x v="1"/>
    <s v="Yes"/>
    <s v="Y"/>
    <n v="2"/>
    <n v="-2"/>
    <n v="0"/>
    <x v="14"/>
    <x v="1"/>
    <m/>
    <n v="0"/>
    <n v="1"/>
    <n v="783"/>
    <n v="1"/>
    <x v="0"/>
    <n v="1"/>
    <n v="3"/>
    <n v="42"/>
    <n v="2"/>
    <n v="2"/>
    <n v="4"/>
    <n v="6834"/>
    <n v="19255"/>
    <n v="1"/>
    <n v="12"/>
    <n v="3"/>
    <n v="3"/>
    <n v="80"/>
    <n v="1"/>
    <n v="7"/>
    <n v="3"/>
    <n v="7"/>
    <n v="7"/>
    <n v="0"/>
    <n v="7"/>
  </r>
  <r>
    <s v="No"/>
    <s v="Travel_Rarely"/>
    <x v="3"/>
    <s v="Current Employees"/>
    <x v="2"/>
    <x v="5"/>
    <x v="1313"/>
    <x v="1313"/>
    <x v="1"/>
    <x v="5"/>
    <x v="1"/>
    <s v="Yes"/>
    <s v="Y"/>
    <n v="0"/>
    <n v="-2"/>
    <n v="0"/>
    <x v="27"/>
    <x v="1"/>
    <m/>
    <n v="0"/>
    <n v="1"/>
    <n v="189"/>
    <n v="26"/>
    <x v="2"/>
    <n v="1"/>
    <n v="3"/>
    <n v="71"/>
    <n v="4"/>
    <n v="5"/>
    <n v="2"/>
    <n v="19636"/>
    <n v="25811"/>
    <n v="4"/>
    <n v="18"/>
    <n v="3"/>
    <n v="1"/>
    <n v="80"/>
    <n v="1"/>
    <n v="35"/>
    <n v="3"/>
    <n v="10"/>
    <n v="9"/>
    <n v="1"/>
    <n v="4"/>
  </r>
  <r>
    <s v="No"/>
    <s v="Travel_Rarely"/>
    <x v="1"/>
    <s v="Current Employees"/>
    <x v="1"/>
    <x v="2"/>
    <x v="1314"/>
    <x v="1314"/>
    <x v="1"/>
    <x v="4"/>
    <x v="2"/>
    <s v="Yes"/>
    <s v="Y"/>
    <n v="2"/>
    <n v="-2"/>
    <n v="0"/>
    <x v="28"/>
    <x v="1"/>
    <m/>
    <n v="0"/>
    <n v="1"/>
    <n v="1038"/>
    <n v="20"/>
    <x v="3"/>
    <n v="1"/>
    <n v="2"/>
    <n v="95"/>
    <n v="1"/>
    <n v="3"/>
    <n v="1"/>
    <n v="10851"/>
    <n v="19863"/>
    <n v="2"/>
    <n v="18"/>
    <n v="3"/>
    <n v="2"/>
    <n v="80"/>
    <n v="1"/>
    <n v="24"/>
    <n v="3"/>
    <n v="7"/>
    <n v="7"/>
    <n v="0"/>
    <n v="7"/>
  </r>
  <r>
    <s v="No"/>
    <s v="Travel_Rarely"/>
    <x v="1"/>
    <s v="Current Employees"/>
    <x v="1"/>
    <x v="2"/>
    <x v="1315"/>
    <x v="1315"/>
    <x v="1"/>
    <x v="7"/>
    <x v="2"/>
    <s v="Yes"/>
    <s v="Y"/>
    <n v="3"/>
    <n v="-2"/>
    <n v="0"/>
    <x v="21"/>
    <x v="1"/>
    <m/>
    <n v="0"/>
    <n v="1"/>
    <n v="734"/>
    <n v="2"/>
    <x v="2"/>
    <n v="1"/>
    <n v="3"/>
    <n v="46"/>
    <n v="3"/>
    <n v="5"/>
    <n v="4"/>
    <n v="19328"/>
    <n v="14218"/>
    <n v="7"/>
    <n v="17"/>
    <n v="3"/>
    <n v="3"/>
    <n v="80"/>
    <n v="1"/>
    <n v="24"/>
    <n v="3"/>
    <n v="2"/>
    <n v="1"/>
    <n v="2"/>
    <n v="2"/>
  </r>
  <r>
    <s v="No"/>
    <s v="Travel_Rarely"/>
    <x v="0"/>
    <s v="Current Employees"/>
    <x v="1"/>
    <x v="0"/>
    <x v="1316"/>
    <x v="1316"/>
    <x v="1"/>
    <x v="1"/>
    <x v="2"/>
    <s v="Yes"/>
    <s v="Y"/>
    <n v="3"/>
    <n v="-2"/>
    <n v="0"/>
    <x v="19"/>
    <x v="1"/>
    <m/>
    <n v="0"/>
    <n v="1"/>
    <n v="557"/>
    <n v="18"/>
    <x v="2"/>
    <n v="1"/>
    <n v="4"/>
    <n v="35"/>
    <n v="3"/>
    <n v="2"/>
    <n v="1"/>
    <n v="5410"/>
    <n v="11189"/>
    <n v="6"/>
    <n v="17"/>
    <n v="3"/>
    <n v="3"/>
    <n v="80"/>
    <n v="1"/>
    <n v="9"/>
    <n v="2"/>
    <n v="4"/>
    <n v="3"/>
    <n v="1"/>
    <n v="2"/>
  </r>
  <r>
    <s v="No"/>
    <s v="Travel_Rarely"/>
    <x v="2"/>
    <s v="Current Employees"/>
    <x v="1"/>
    <x v="1"/>
    <x v="1317"/>
    <x v="1317"/>
    <x v="1"/>
    <x v="2"/>
    <x v="2"/>
    <s v="Yes"/>
    <s v="Y"/>
    <n v="2"/>
    <n v="-2"/>
    <n v="0"/>
    <x v="36"/>
    <x v="1"/>
    <m/>
    <n v="0"/>
    <n v="1"/>
    <n v="977"/>
    <n v="2"/>
    <x v="1"/>
    <n v="1"/>
    <n v="4"/>
    <n v="57"/>
    <n v="3"/>
    <n v="1"/>
    <n v="3"/>
    <n v="3977"/>
    <n v="7298"/>
    <n v="6"/>
    <n v="19"/>
    <n v="3"/>
    <n v="3"/>
    <n v="80"/>
    <n v="1"/>
    <n v="7"/>
    <n v="2"/>
    <n v="2"/>
    <n v="2"/>
    <n v="0"/>
    <n v="2"/>
  </r>
  <r>
    <s v="No"/>
    <s v="Travel_Rarely"/>
    <x v="0"/>
    <s v="Current Employees"/>
    <x v="1"/>
    <x v="2"/>
    <x v="1318"/>
    <x v="1318"/>
    <x v="1"/>
    <x v="1"/>
    <x v="1"/>
    <s v="Yes"/>
    <s v="Y"/>
    <n v="5"/>
    <n v="-2"/>
    <n v="0"/>
    <x v="0"/>
    <x v="1"/>
    <m/>
    <n v="0"/>
    <n v="1"/>
    <n v="1283"/>
    <n v="5"/>
    <x v="4"/>
    <n v="1"/>
    <n v="2"/>
    <n v="90"/>
    <n v="4"/>
    <n v="1"/>
    <n v="3"/>
    <n v="2127"/>
    <n v="5561"/>
    <n v="2"/>
    <n v="12"/>
    <n v="3"/>
    <n v="1"/>
    <n v="80"/>
    <n v="0"/>
    <n v="7"/>
    <n v="2"/>
    <n v="4"/>
    <n v="2"/>
    <n v="0"/>
    <n v="3"/>
  </r>
  <r>
    <s v="No"/>
    <s v="Travel_Rarely"/>
    <x v="3"/>
    <s v="Current Employees"/>
    <x v="1"/>
    <x v="0"/>
    <x v="1319"/>
    <x v="1319"/>
    <x v="1"/>
    <x v="4"/>
    <x v="1"/>
    <s v="Yes"/>
    <s v="Y"/>
    <n v="2"/>
    <n v="-2"/>
    <n v="0"/>
    <x v="27"/>
    <x v="1"/>
    <m/>
    <n v="0"/>
    <n v="1"/>
    <n v="1229"/>
    <n v="4"/>
    <x v="2"/>
    <n v="1"/>
    <n v="4"/>
    <n v="30"/>
    <n v="3"/>
    <n v="2"/>
    <n v="3"/>
    <n v="4035"/>
    <n v="16143"/>
    <n v="0"/>
    <n v="16"/>
    <n v="3"/>
    <n v="2"/>
    <n v="80"/>
    <n v="0"/>
    <n v="4"/>
    <n v="3"/>
    <n v="3"/>
    <n v="2"/>
    <n v="1"/>
    <n v="2"/>
  </r>
  <r>
    <s v="No"/>
    <s v="Travel_Rarely"/>
    <x v="0"/>
    <s v="Current Employees"/>
    <x v="1"/>
    <x v="2"/>
    <x v="1320"/>
    <x v="1320"/>
    <x v="1"/>
    <x v="4"/>
    <x v="1"/>
    <s v="Yes"/>
    <s v="Y"/>
    <n v="2"/>
    <n v="-2"/>
    <n v="0"/>
    <x v="8"/>
    <x v="1"/>
    <m/>
    <n v="0"/>
    <n v="1"/>
    <n v="833"/>
    <n v="18"/>
    <x v="3"/>
    <n v="1"/>
    <n v="2"/>
    <n v="60"/>
    <n v="1"/>
    <n v="2"/>
    <n v="4"/>
    <n v="5811"/>
    <n v="24539"/>
    <n v="3"/>
    <n v="16"/>
    <n v="3"/>
    <n v="3"/>
    <n v="80"/>
    <n v="1"/>
    <n v="15"/>
    <n v="3"/>
    <n v="1"/>
    <n v="0"/>
    <n v="1"/>
    <n v="0"/>
  </r>
  <r>
    <s v="No"/>
    <s v="Travel_Rarely"/>
    <x v="2"/>
    <s v="Current Employees"/>
    <x v="1"/>
    <x v="0"/>
    <x v="1321"/>
    <x v="1321"/>
    <x v="1"/>
    <x v="2"/>
    <x v="1"/>
    <s v="Yes"/>
    <s v="Y"/>
    <n v="3"/>
    <n v="-2"/>
    <n v="0"/>
    <x v="3"/>
    <x v="1"/>
    <m/>
    <n v="0"/>
    <n v="1"/>
    <n v="589"/>
    <n v="28"/>
    <x v="2"/>
    <n v="1"/>
    <n v="2"/>
    <n v="79"/>
    <n v="3"/>
    <n v="2"/>
    <n v="3"/>
    <n v="5207"/>
    <n v="22949"/>
    <n v="1"/>
    <n v="12"/>
    <n v="3"/>
    <n v="2"/>
    <n v="80"/>
    <n v="1"/>
    <n v="15"/>
    <n v="3"/>
    <n v="15"/>
    <n v="14"/>
    <n v="5"/>
    <n v="7"/>
  </r>
  <r>
    <s v="No"/>
    <s v="Travel_Rarely"/>
    <x v="2"/>
    <s v="Current Employees"/>
    <x v="1"/>
    <x v="1"/>
    <x v="1322"/>
    <x v="1322"/>
    <x v="1"/>
    <x v="2"/>
    <x v="1"/>
    <s v="Yes"/>
    <s v="Y"/>
    <n v="2"/>
    <n v="-2"/>
    <n v="0"/>
    <x v="11"/>
    <x v="1"/>
    <m/>
    <n v="0"/>
    <n v="1"/>
    <n v="1378"/>
    <n v="13"/>
    <x v="0"/>
    <n v="1"/>
    <n v="4"/>
    <n v="46"/>
    <n v="2"/>
    <n v="2"/>
    <n v="2"/>
    <n v="4025"/>
    <n v="23679"/>
    <n v="4"/>
    <n v="13"/>
    <n v="3"/>
    <n v="1"/>
    <n v="80"/>
    <n v="1"/>
    <n v="10"/>
    <n v="3"/>
    <n v="4"/>
    <n v="3"/>
    <n v="0"/>
    <n v="3"/>
  </r>
  <r>
    <s v="No"/>
    <s v="Travel_Rarely"/>
    <x v="0"/>
    <s v="Current Employees"/>
    <x v="1"/>
    <x v="0"/>
    <x v="1323"/>
    <x v="1323"/>
    <x v="1"/>
    <x v="4"/>
    <x v="1"/>
    <s v="Yes"/>
    <s v="Y"/>
    <n v="1"/>
    <n v="-2"/>
    <n v="0"/>
    <x v="9"/>
    <x v="1"/>
    <m/>
    <n v="0"/>
    <n v="1"/>
    <n v="1383"/>
    <n v="10"/>
    <x v="3"/>
    <n v="1"/>
    <n v="4"/>
    <n v="90"/>
    <n v="3"/>
    <n v="3"/>
    <n v="1"/>
    <n v="8321"/>
    <n v="25949"/>
    <n v="7"/>
    <n v="13"/>
    <n v="3"/>
    <n v="4"/>
    <n v="80"/>
    <n v="1"/>
    <n v="15"/>
    <n v="3"/>
    <n v="12"/>
    <n v="8"/>
    <n v="5"/>
    <n v="7"/>
  </r>
  <r>
    <s v="No"/>
    <s v="Travel_Rarely"/>
    <x v="0"/>
    <s v="Current Employees"/>
    <x v="1"/>
    <x v="2"/>
    <x v="1324"/>
    <x v="1324"/>
    <x v="1"/>
    <x v="2"/>
    <x v="1"/>
    <s v="Yes"/>
    <s v="Y"/>
    <n v="3"/>
    <n v="-2"/>
    <n v="0"/>
    <x v="10"/>
    <x v="1"/>
    <m/>
    <n v="0"/>
    <n v="1"/>
    <n v="1490"/>
    <n v="11"/>
    <x v="2"/>
    <n v="1"/>
    <n v="4"/>
    <n v="43"/>
    <n v="3"/>
    <n v="1"/>
    <n v="3"/>
    <n v="2660"/>
    <n v="20232"/>
    <n v="7"/>
    <n v="11"/>
    <n v="3"/>
    <n v="3"/>
    <n v="80"/>
    <n v="1"/>
    <n v="5"/>
    <n v="3"/>
    <n v="2"/>
    <n v="2"/>
    <n v="2"/>
    <n v="2"/>
  </r>
  <r>
    <s v="No"/>
    <s v="Travel_Rarely"/>
    <x v="1"/>
    <s v="Current Employees"/>
    <x v="1"/>
    <x v="4"/>
    <x v="1325"/>
    <x v="1325"/>
    <x v="1"/>
    <x v="3"/>
    <x v="1"/>
    <s v="Yes"/>
    <s v="Y"/>
    <n v="4"/>
    <n v="-2"/>
    <n v="0"/>
    <x v="28"/>
    <x v="1"/>
    <m/>
    <n v="0"/>
    <n v="1"/>
    <n v="1448"/>
    <n v="29"/>
    <x v="3"/>
    <n v="1"/>
    <n v="4"/>
    <n v="55"/>
    <n v="3"/>
    <n v="3"/>
    <n v="4"/>
    <n v="9380"/>
    <n v="14720"/>
    <n v="4"/>
    <n v="18"/>
    <n v="3"/>
    <n v="4"/>
    <n v="80"/>
    <n v="2"/>
    <n v="10"/>
    <n v="4"/>
    <n v="3"/>
    <n v="1"/>
    <n v="1"/>
    <n v="2"/>
  </r>
  <r>
    <s v="No"/>
    <s v="Travel_Rarely"/>
    <x v="2"/>
    <s v="Current Employees"/>
    <x v="1"/>
    <x v="2"/>
    <x v="1326"/>
    <x v="1326"/>
    <x v="1"/>
    <x v="1"/>
    <x v="1"/>
    <s v="Yes"/>
    <s v="Y"/>
    <n v="3"/>
    <n v="-2"/>
    <n v="0"/>
    <x v="13"/>
    <x v="1"/>
    <m/>
    <n v="0"/>
    <n v="1"/>
    <n v="181"/>
    <n v="2"/>
    <x v="2"/>
    <n v="1"/>
    <n v="4"/>
    <n v="97"/>
    <n v="4"/>
    <n v="1"/>
    <n v="4"/>
    <n v="2932"/>
    <n v="5586"/>
    <n v="0"/>
    <n v="14"/>
    <n v="3"/>
    <n v="1"/>
    <n v="80"/>
    <n v="3"/>
    <n v="6"/>
    <n v="3"/>
    <n v="5"/>
    <n v="0"/>
    <n v="1"/>
    <n v="2"/>
  </r>
  <r>
    <s v="No"/>
    <s v="Travel_Rarely"/>
    <x v="2"/>
    <s v="Current Employees"/>
    <x v="1"/>
    <x v="2"/>
    <x v="1327"/>
    <x v="1327"/>
    <x v="1"/>
    <x v="2"/>
    <x v="0"/>
    <s v="Yes"/>
    <s v="Y"/>
    <n v="3"/>
    <n v="-2"/>
    <n v="0"/>
    <x v="11"/>
    <x v="1"/>
    <m/>
    <n v="0"/>
    <n v="1"/>
    <n v="1370"/>
    <n v="3"/>
    <x v="1"/>
    <n v="1"/>
    <n v="2"/>
    <n v="87"/>
    <n v="3"/>
    <n v="1"/>
    <n v="1"/>
    <n v="4723"/>
    <n v="16213"/>
    <n v="1"/>
    <n v="18"/>
    <n v="3"/>
    <n v="4"/>
    <n v="80"/>
    <n v="0"/>
    <n v="10"/>
    <n v="3"/>
    <n v="10"/>
    <n v="9"/>
    <n v="1"/>
    <n v="5"/>
  </r>
  <r>
    <s v="No"/>
    <s v="Travel_Rarely"/>
    <x v="0"/>
    <s v="Current Employees"/>
    <x v="1"/>
    <x v="2"/>
    <x v="1328"/>
    <x v="1328"/>
    <x v="1"/>
    <x v="1"/>
    <x v="0"/>
    <s v="Yes"/>
    <s v="Y"/>
    <n v="2"/>
    <n v="-2"/>
    <n v="0"/>
    <x v="20"/>
    <x v="1"/>
    <m/>
    <n v="0"/>
    <n v="1"/>
    <n v="1037"/>
    <n v="1"/>
    <x v="3"/>
    <n v="1"/>
    <n v="2"/>
    <n v="42"/>
    <n v="3"/>
    <n v="1"/>
    <n v="4"/>
    <n v="2436"/>
    <n v="13422"/>
    <n v="6"/>
    <n v="12"/>
    <n v="3"/>
    <n v="3"/>
    <n v="80"/>
    <n v="0"/>
    <n v="6"/>
    <n v="3"/>
    <n v="4"/>
    <n v="3"/>
    <n v="1"/>
    <n v="2"/>
  </r>
  <r>
    <s v="No"/>
    <s v="Travel_Rarely"/>
    <x v="2"/>
    <s v="Current Employees"/>
    <x v="1"/>
    <x v="0"/>
    <x v="1329"/>
    <x v="1329"/>
    <x v="1"/>
    <x v="4"/>
    <x v="0"/>
    <s v="Yes"/>
    <s v="Y"/>
    <n v="6"/>
    <n v="-2"/>
    <n v="0"/>
    <x v="3"/>
    <x v="1"/>
    <m/>
    <n v="0"/>
    <n v="1"/>
    <n v="516"/>
    <n v="8"/>
    <x v="4"/>
    <n v="1"/>
    <n v="4"/>
    <n v="69"/>
    <n v="3"/>
    <n v="2"/>
    <n v="3"/>
    <n v="6388"/>
    <n v="22049"/>
    <n v="2"/>
    <n v="17"/>
    <n v="3"/>
    <n v="1"/>
    <n v="80"/>
    <n v="0"/>
    <n v="14"/>
    <n v="3"/>
    <n v="0"/>
    <n v="0"/>
    <n v="0"/>
    <n v="0"/>
  </r>
  <r>
    <s v="No"/>
    <s v="Travel_Rarely"/>
    <x v="2"/>
    <s v="Current Employees"/>
    <x v="0"/>
    <x v="2"/>
    <x v="1330"/>
    <x v="1330"/>
    <x v="1"/>
    <x v="0"/>
    <x v="2"/>
    <s v="Yes"/>
    <s v="Y"/>
    <n v="3"/>
    <n v="-2"/>
    <n v="0"/>
    <x v="11"/>
    <x v="1"/>
    <m/>
    <n v="0"/>
    <n v="1"/>
    <n v="991"/>
    <n v="5"/>
    <x v="3"/>
    <n v="1"/>
    <n v="1"/>
    <n v="43"/>
    <n v="2"/>
    <n v="2"/>
    <n v="2"/>
    <n v="4187"/>
    <n v="3356"/>
    <n v="1"/>
    <n v="13"/>
    <n v="3"/>
    <n v="2"/>
    <n v="80"/>
    <n v="1"/>
    <n v="10"/>
    <n v="2"/>
    <n v="10"/>
    <n v="0"/>
    <n v="0"/>
    <n v="9"/>
  </r>
  <r>
    <s v="No"/>
    <s v="Travel_Rarely"/>
    <x v="1"/>
    <s v="Current Employees"/>
    <x v="0"/>
    <x v="0"/>
    <x v="1331"/>
    <x v="1331"/>
    <x v="1"/>
    <x v="0"/>
    <x v="2"/>
    <s v="Yes"/>
    <s v="Y"/>
    <n v="5"/>
    <n v="-2"/>
    <n v="0"/>
    <x v="21"/>
    <x v="1"/>
    <m/>
    <n v="0"/>
    <n v="1"/>
    <n v="1277"/>
    <n v="2"/>
    <x v="3"/>
    <n v="1"/>
    <n v="3"/>
    <n v="74"/>
    <n v="3"/>
    <n v="3"/>
    <n v="4"/>
    <n v="10368"/>
    <n v="5596"/>
    <n v="4"/>
    <n v="12"/>
    <n v="3"/>
    <n v="2"/>
    <n v="80"/>
    <n v="1"/>
    <n v="13"/>
    <n v="2"/>
    <n v="10"/>
    <n v="6"/>
    <n v="0"/>
    <n v="3"/>
  </r>
  <r>
    <s v="No"/>
    <s v="Travel_Rarely"/>
    <x v="0"/>
    <s v="Current Employees"/>
    <x v="0"/>
    <x v="3"/>
    <x v="1332"/>
    <x v="1332"/>
    <x v="1"/>
    <x v="0"/>
    <x v="2"/>
    <s v="Yes"/>
    <s v="Y"/>
    <n v="4"/>
    <n v="-2"/>
    <n v="0"/>
    <x v="19"/>
    <x v="1"/>
    <m/>
    <n v="0"/>
    <n v="1"/>
    <n v="419"/>
    <n v="12"/>
    <x v="2"/>
    <n v="1"/>
    <n v="2"/>
    <n v="77"/>
    <n v="3"/>
    <n v="2"/>
    <n v="1"/>
    <n v="5087"/>
    <n v="2900"/>
    <n v="3"/>
    <n v="12"/>
    <n v="3"/>
    <n v="3"/>
    <n v="80"/>
    <n v="2"/>
    <n v="14"/>
    <n v="3"/>
    <n v="0"/>
    <n v="0"/>
    <n v="0"/>
    <n v="0"/>
  </r>
  <r>
    <s v="No"/>
    <s v="Travel_Rarely"/>
    <x v="2"/>
    <s v="Current Employees"/>
    <x v="0"/>
    <x v="4"/>
    <x v="1333"/>
    <x v="1333"/>
    <x v="1"/>
    <x v="0"/>
    <x v="1"/>
    <s v="Yes"/>
    <s v="Y"/>
    <n v="3"/>
    <n v="-2"/>
    <n v="0"/>
    <x v="13"/>
    <x v="1"/>
    <m/>
    <n v="0"/>
    <n v="1"/>
    <n v="971"/>
    <n v="1"/>
    <x v="3"/>
    <n v="1"/>
    <n v="4"/>
    <n v="64"/>
    <n v="2"/>
    <n v="3"/>
    <n v="4"/>
    <n v="7083"/>
    <n v="12288"/>
    <n v="1"/>
    <n v="14"/>
    <n v="3"/>
    <n v="4"/>
    <n v="80"/>
    <n v="0"/>
    <n v="10"/>
    <n v="3"/>
    <n v="10"/>
    <n v="9"/>
    <n v="8"/>
    <n v="6"/>
  </r>
  <r>
    <s v="No"/>
    <s v="Travel_Rarely"/>
    <x v="1"/>
    <s v="Current Employees"/>
    <x v="0"/>
    <x v="3"/>
    <x v="1334"/>
    <x v="1334"/>
    <x v="1"/>
    <x v="5"/>
    <x v="1"/>
    <s v="Yes"/>
    <s v="Y"/>
    <n v="2"/>
    <n v="-2"/>
    <n v="0"/>
    <x v="24"/>
    <x v="1"/>
    <m/>
    <n v="0"/>
    <n v="1"/>
    <n v="264"/>
    <n v="9"/>
    <x v="3"/>
    <n v="1"/>
    <n v="3"/>
    <n v="59"/>
    <n v="3"/>
    <n v="5"/>
    <n v="1"/>
    <n v="19331"/>
    <n v="19519"/>
    <n v="4"/>
    <n v="16"/>
    <n v="3"/>
    <n v="3"/>
    <n v="80"/>
    <n v="1"/>
    <n v="27"/>
    <n v="3"/>
    <n v="1"/>
    <n v="0"/>
    <n v="0"/>
    <n v="0"/>
  </r>
  <r>
    <s v="No"/>
    <s v="Travel_Rarely"/>
    <x v="0"/>
    <s v="Current Employees"/>
    <x v="0"/>
    <x v="2"/>
    <x v="1335"/>
    <x v="1335"/>
    <x v="1"/>
    <x v="0"/>
    <x v="1"/>
    <s v="Yes"/>
    <s v="Y"/>
    <n v="3"/>
    <n v="-2"/>
    <n v="0"/>
    <x v="23"/>
    <x v="1"/>
    <m/>
    <n v="0"/>
    <n v="1"/>
    <n v="1179"/>
    <n v="2"/>
    <x v="3"/>
    <n v="1"/>
    <n v="4"/>
    <n v="73"/>
    <n v="3"/>
    <n v="2"/>
    <n v="4"/>
    <n v="7847"/>
    <n v="6069"/>
    <n v="1"/>
    <n v="17"/>
    <n v="3"/>
    <n v="1"/>
    <n v="80"/>
    <n v="1"/>
    <n v="10"/>
    <n v="3"/>
    <n v="10"/>
    <n v="9"/>
    <n v="8"/>
    <n v="8"/>
  </r>
  <r>
    <s v="No"/>
    <s v="Travel_Rarely"/>
    <x v="2"/>
    <s v="Current Employees"/>
    <x v="0"/>
    <x v="0"/>
    <x v="1336"/>
    <x v="1336"/>
    <x v="1"/>
    <x v="0"/>
    <x v="1"/>
    <s v="Yes"/>
    <s v="Y"/>
    <n v="3"/>
    <n v="-2"/>
    <n v="0"/>
    <x v="13"/>
    <x v="1"/>
    <m/>
    <n v="0"/>
    <n v="1"/>
    <n v="1480"/>
    <n v="4"/>
    <x v="3"/>
    <n v="1"/>
    <n v="3"/>
    <n v="64"/>
    <n v="3"/>
    <n v="3"/>
    <n v="4"/>
    <n v="9713"/>
    <n v="24444"/>
    <n v="2"/>
    <n v="13"/>
    <n v="3"/>
    <n v="4"/>
    <n v="80"/>
    <n v="3"/>
    <n v="9"/>
    <n v="3"/>
    <n v="5"/>
    <n v="3"/>
    <n v="1"/>
    <n v="0"/>
  </r>
  <r>
    <s v="No"/>
    <s v="Travel_Rarely"/>
    <x v="4"/>
    <s v="Current Employees"/>
    <x v="0"/>
    <x v="2"/>
    <x v="1337"/>
    <x v="1337"/>
    <x v="1"/>
    <x v="6"/>
    <x v="0"/>
    <s v="Yes"/>
    <s v="Y"/>
    <n v="6"/>
    <n v="-2"/>
    <n v="0"/>
    <x v="18"/>
    <x v="1"/>
    <m/>
    <n v="0"/>
    <n v="1"/>
    <n v="501"/>
    <n v="5"/>
    <x v="1"/>
    <n v="1"/>
    <n v="3"/>
    <n v="58"/>
    <n v="3"/>
    <n v="1"/>
    <n v="1"/>
    <n v="2380"/>
    <n v="25479"/>
    <n v="1"/>
    <n v="11"/>
    <n v="3"/>
    <n v="4"/>
    <n v="80"/>
    <n v="0"/>
    <n v="2"/>
    <n v="3"/>
    <n v="2"/>
    <n v="2"/>
    <n v="1"/>
    <n v="2"/>
  </r>
  <r>
    <s v="No"/>
    <s v="Travel_Rarely"/>
    <x v="0"/>
    <s v="Current Employees"/>
    <x v="0"/>
    <x v="0"/>
    <x v="1338"/>
    <x v="1338"/>
    <x v="1"/>
    <x v="0"/>
    <x v="0"/>
    <s v="Yes"/>
    <s v="Y"/>
    <n v="2"/>
    <n v="-2"/>
    <n v="0"/>
    <x v="0"/>
    <x v="1"/>
    <m/>
    <n v="0"/>
    <n v="1"/>
    <n v="1206"/>
    <n v="23"/>
    <x v="0"/>
    <n v="1"/>
    <n v="4"/>
    <n v="80"/>
    <n v="3"/>
    <n v="3"/>
    <n v="3"/>
    <n v="7082"/>
    <n v="11591"/>
    <n v="3"/>
    <n v="16"/>
    <n v="3"/>
    <n v="4"/>
    <n v="80"/>
    <n v="0"/>
    <n v="21"/>
    <n v="3"/>
    <n v="2"/>
    <n v="0"/>
    <n v="0"/>
    <n v="2"/>
  </r>
  <r>
    <s v="No"/>
    <s v="Non-Travel"/>
    <x v="2"/>
    <s v="Current Employees"/>
    <x v="1"/>
    <x v="2"/>
    <x v="1339"/>
    <x v="1339"/>
    <x v="0"/>
    <x v="7"/>
    <x v="1"/>
    <s v="No"/>
    <s v="Y"/>
    <n v="2"/>
    <n v="-2"/>
    <n v="0"/>
    <x v="12"/>
    <x v="1"/>
    <m/>
    <n v="0"/>
    <n v="1"/>
    <n v="697"/>
    <n v="10"/>
    <x v="3"/>
    <n v="1"/>
    <n v="3"/>
    <n v="40"/>
    <n v="3"/>
    <n v="3"/>
    <n v="3"/>
    <n v="11031"/>
    <n v="26862"/>
    <n v="4"/>
    <n v="20"/>
    <n v="4"/>
    <n v="3"/>
    <n v="80"/>
    <n v="1"/>
    <n v="13"/>
    <n v="4"/>
    <n v="11"/>
    <n v="7"/>
    <n v="4"/>
    <n v="8"/>
  </r>
  <r>
    <s v="No"/>
    <s v="Non-Travel"/>
    <x v="1"/>
    <s v="Current Employees"/>
    <x v="0"/>
    <x v="0"/>
    <x v="1340"/>
    <x v="1340"/>
    <x v="0"/>
    <x v="0"/>
    <x v="1"/>
    <s v="No"/>
    <s v="Y"/>
    <n v="3"/>
    <n v="-2"/>
    <n v="0"/>
    <x v="28"/>
    <x v="1"/>
    <m/>
    <n v="0"/>
    <n v="1"/>
    <n v="589"/>
    <n v="2"/>
    <x v="2"/>
    <n v="1"/>
    <n v="3"/>
    <n v="67"/>
    <n v="3"/>
    <n v="2"/>
    <n v="3"/>
    <n v="5154"/>
    <n v="19665"/>
    <n v="4"/>
    <n v="22"/>
    <n v="4"/>
    <n v="2"/>
    <n v="80"/>
    <n v="2"/>
    <n v="10"/>
    <n v="4"/>
    <n v="8"/>
    <n v="7"/>
    <n v="5"/>
    <n v="7"/>
  </r>
  <r>
    <s v="No"/>
    <s v="Travel_Frequently"/>
    <x v="1"/>
    <s v="Current Employees"/>
    <x v="1"/>
    <x v="2"/>
    <x v="1341"/>
    <x v="1341"/>
    <x v="0"/>
    <x v="5"/>
    <x v="2"/>
    <s v="No"/>
    <s v="Y"/>
    <n v="2"/>
    <n v="-2"/>
    <n v="0"/>
    <x v="33"/>
    <x v="1"/>
    <m/>
    <n v="0"/>
    <n v="1"/>
    <n v="1050"/>
    <n v="11"/>
    <x v="2"/>
    <n v="1"/>
    <n v="2"/>
    <n v="87"/>
    <n v="3"/>
    <n v="4"/>
    <n v="4"/>
    <n v="16032"/>
    <n v="24456"/>
    <n v="3"/>
    <n v="20"/>
    <n v="4"/>
    <n v="1"/>
    <n v="80"/>
    <n v="1"/>
    <n v="26"/>
    <n v="3"/>
    <n v="14"/>
    <n v="9"/>
    <n v="1"/>
    <n v="12"/>
  </r>
  <r>
    <s v="No"/>
    <s v="Travel_Frequently"/>
    <x v="0"/>
    <s v="Current Employees"/>
    <x v="1"/>
    <x v="2"/>
    <x v="1342"/>
    <x v="1342"/>
    <x v="0"/>
    <x v="2"/>
    <x v="0"/>
    <s v="No"/>
    <s v="Y"/>
    <n v="3"/>
    <n v="-2"/>
    <n v="0"/>
    <x v="8"/>
    <x v="1"/>
    <m/>
    <n v="0"/>
    <n v="1"/>
    <n v="148"/>
    <n v="2"/>
    <x v="3"/>
    <n v="1"/>
    <n v="4"/>
    <n v="42"/>
    <n v="2"/>
    <n v="1"/>
    <n v="2"/>
    <n v="2440"/>
    <n v="23826"/>
    <n v="1"/>
    <n v="22"/>
    <n v="4"/>
    <n v="2"/>
    <n v="80"/>
    <n v="0"/>
    <n v="4"/>
    <n v="3"/>
    <n v="4"/>
    <n v="3"/>
    <n v="3"/>
    <n v="3"/>
  </r>
  <r>
    <s v="No"/>
    <s v="Travel_Frequently"/>
    <x v="2"/>
    <s v="Current Employees"/>
    <x v="1"/>
    <x v="4"/>
    <x v="1343"/>
    <x v="1343"/>
    <x v="0"/>
    <x v="3"/>
    <x v="0"/>
    <s v="No"/>
    <s v="Y"/>
    <n v="3"/>
    <n v="-2"/>
    <n v="0"/>
    <x v="12"/>
    <x v="1"/>
    <m/>
    <n v="0"/>
    <n v="1"/>
    <n v="163"/>
    <n v="24"/>
    <x v="1"/>
    <n v="1"/>
    <n v="4"/>
    <n v="30"/>
    <n v="3"/>
    <n v="2"/>
    <n v="4"/>
    <n v="5238"/>
    <n v="6670"/>
    <n v="2"/>
    <n v="20"/>
    <n v="4"/>
    <n v="4"/>
    <n v="80"/>
    <n v="0"/>
    <n v="9"/>
    <n v="2"/>
    <n v="5"/>
    <n v="4"/>
    <n v="1"/>
    <n v="4"/>
  </r>
  <r>
    <s v="No"/>
    <s v="Travel_Rarely"/>
    <x v="1"/>
    <s v="Current Employees"/>
    <x v="2"/>
    <x v="0"/>
    <x v="1344"/>
    <x v="1344"/>
    <x v="0"/>
    <x v="8"/>
    <x v="1"/>
    <s v="No"/>
    <s v="Y"/>
    <n v="2"/>
    <n v="-2"/>
    <n v="0"/>
    <x v="28"/>
    <x v="1"/>
    <m/>
    <n v="0"/>
    <n v="1"/>
    <n v="176"/>
    <n v="4"/>
    <x v="3"/>
    <n v="1"/>
    <n v="3"/>
    <n v="56"/>
    <n v="1"/>
    <n v="3"/>
    <n v="3"/>
    <n v="9756"/>
    <n v="6595"/>
    <n v="4"/>
    <n v="21"/>
    <n v="4"/>
    <n v="3"/>
    <n v="80"/>
    <n v="2"/>
    <n v="9"/>
    <n v="4"/>
    <n v="5"/>
    <n v="0"/>
    <n v="0"/>
    <n v="3"/>
  </r>
  <r>
    <s v="No"/>
    <s v="Travel_Rarely"/>
    <x v="2"/>
    <s v="Current Employees"/>
    <x v="1"/>
    <x v="2"/>
    <x v="1345"/>
    <x v="1345"/>
    <x v="0"/>
    <x v="3"/>
    <x v="2"/>
    <s v="No"/>
    <s v="Y"/>
    <n v="5"/>
    <n v="-2"/>
    <n v="0"/>
    <x v="14"/>
    <x v="1"/>
    <m/>
    <n v="0"/>
    <n v="1"/>
    <n v="580"/>
    <n v="27"/>
    <x v="3"/>
    <n v="1"/>
    <n v="2"/>
    <n v="39"/>
    <n v="1"/>
    <n v="2"/>
    <n v="1"/>
    <n v="4877"/>
    <n v="20460"/>
    <n v="0"/>
    <n v="21"/>
    <n v="4"/>
    <n v="2"/>
    <n v="80"/>
    <n v="1"/>
    <n v="6"/>
    <n v="2"/>
    <n v="5"/>
    <n v="3"/>
    <n v="0"/>
    <n v="0"/>
  </r>
  <r>
    <s v="No"/>
    <s v="Travel_Rarely"/>
    <x v="2"/>
    <s v="Current Employees"/>
    <x v="1"/>
    <x v="0"/>
    <x v="1346"/>
    <x v="1346"/>
    <x v="0"/>
    <x v="1"/>
    <x v="1"/>
    <s v="No"/>
    <s v="Y"/>
    <n v="5"/>
    <n v="-2"/>
    <n v="0"/>
    <x v="25"/>
    <x v="1"/>
    <m/>
    <n v="0"/>
    <n v="1"/>
    <n v="474"/>
    <n v="3"/>
    <x v="3"/>
    <n v="1"/>
    <n v="1"/>
    <n v="89"/>
    <n v="3"/>
    <n v="1"/>
    <n v="4"/>
    <n v="2061"/>
    <n v="11133"/>
    <n v="1"/>
    <n v="21"/>
    <n v="4"/>
    <n v="1"/>
    <n v="80"/>
    <n v="0"/>
    <n v="1"/>
    <n v="3"/>
    <n v="1"/>
    <n v="0"/>
    <n v="0"/>
    <n v="0"/>
  </r>
  <r>
    <s v="No"/>
    <s v="Travel_Rarely"/>
    <x v="0"/>
    <s v="Current Employees"/>
    <x v="1"/>
    <x v="0"/>
    <x v="1347"/>
    <x v="1347"/>
    <x v="0"/>
    <x v="3"/>
    <x v="1"/>
    <s v="No"/>
    <s v="Y"/>
    <n v="3"/>
    <n v="-2"/>
    <n v="0"/>
    <x v="0"/>
    <x v="1"/>
    <m/>
    <n v="0"/>
    <n v="1"/>
    <n v="582"/>
    <n v="28"/>
    <x v="2"/>
    <n v="1"/>
    <n v="1"/>
    <n v="60"/>
    <n v="2"/>
    <n v="4"/>
    <n v="2"/>
    <n v="13570"/>
    <n v="5640"/>
    <n v="0"/>
    <n v="23"/>
    <n v="4"/>
    <n v="3"/>
    <n v="80"/>
    <n v="1"/>
    <n v="21"/>
    <n v="3"/>
    <n v="20"/>
    <n v="7"/>
    <n v="0"/>
    <n v="10"/>
  </r>
  <r>
    <s v="No"/>
    <s v="Travel_Rarely"/>
    <x v="3"/>
    <s v="Current Employees"/>
    <x v="1"/>
    <x v="0"/>
    <x v="1348"/>
    <x v="1348"/>
    <x v="0"/>
    <x v="1"/>
    <x v="1"/>
    <s v="No"/>
    <s v="Y"/>
    <n v="3"/>
    <n v="-2"/>
    <n v="0"/>
    <x v="29"/>
    <x v="1"/>
    <m/>
    <n v="0"/>
    <n v="1"/>
    <n v="1255"/>
    <n v="1"/>
    <x v="0"/>
    <n v="1"/>
    <n v="1"/>
    <n v="90"/>
    <n v="3"/>
    <n v="1"/>
    <n v="1"/>
    <n v="2066"/>
    <n v="10494"/>
    <n v="2"/>
    <n v="22"/>
    <n v="4"/>
    <n v="4"/>
    <n v="80"/>
    <n v="1"/>
    <n v="5"/>
    <n v="4"/>
    <n v="3"/>
    <n v="2"/>
    <n v="1"/>
    <n v="0"/>
  </r>
  <r>
    <s v="No"/>
    <s v="Travel_Rarely"/>
    <x v="1"/>
    <s v="Current Employees"/>
    <x v="1"/>
    <x v="2"/>
    <x v="1349"/>
    <x v="1349"/>
    <x v="0"/>
    <x v="5"/>
    <x v="1"/>
    <s v="No"/>
    <s v="Y"/>
    <n v="6"/>
    <n v="-2"/>
    <n v="0"/>
    <x v="33"/>
    <x v="1"/>
    <m/>
    <n v="0"/>
    <n v="1"/>
    <n v="584"/>
    <n v="22"/>
    <x v="4"/>
    <n v="1"/>
    <n v="2"/>
    <n v="91"/>
    <n v="3"/>
    <n v="4"/>
    <n v="3"/>
    <n v="17426"/>
    <n v="18685"/>
    <n v="3"/>
    <n v="25"/>
    <n v="4"/>
    <n v="3"/>
    <n v="80"/>
    <n v="1"/>
    <n v="36"/>
    <n v="3"/>
    <n v="10"/>
    <n v="8"/>
    <n v="4"/>
    <n v="7"/>
  </r>
  <r>
    <s v="No"/>
    <s v="Travel_Rarely"/>
    <x v="1"/>
    <s v="Current Employees"/>
    <x v="1"/>
    <x v="2"/>
    <x v="1350"/>
    <x v="1350"/>
    <x v="0"/>
    <x v="2"/>
    <x v="1"/>
    <s v="No"/>
    <s v="Y"/>
    <n v="3"/>
    <n v="-2"/>
    <n v="0"/>
    <x v="1"/>
    <x v="1"/>
    <m/>
    <n v="0"/>
    <n v="1"/>
    <n v="271"/>
    <n v="3"/>
    <x v="0"/>
    <n v="1"/>
    <n v="3"/>
    <n v="43"/>
    <n v="2"/>
    <n v="2"/>
    <n v="1"/>
    <n v="4789"/>
    <n v="23070"/>
    <n v="4"/>
    <n v="25"/>
    <n v="4"/>
    <n v="1"/>
    <n v="80"/>
    <n v="1"/>
    <n v="10"/>
    <n v="3"/>
    <n v="3"/>
    <n v="2"/>
    <n v="1"/>
    <n v="2"/>
  </r>
  <r>
    <s v="No"/>
    <s v="Travel_Rarely"/>
    <x v="2"/>
    <s v="Current Employees"/>
    <x v="1"/>
    <x v="2"/>
    <x v="1351"/>
    <x v="1351"/>
    <x v="0"/>
    <x v="1"/>
    <x v="1"/>
    <s v="No"/>
    <s v="Y"/>
    <n v="3"/>
    <n v="-2"/>
    <n v="0"/>
    <x v="14"/>
    <x v="1"/>
    <m/>
    <n v="0"/>
    <n v="1"/>
    <n v="1217"/>
    <n v="1"/>
    <x v="3"/>
    <n v="1"/>
    <n v="3"/>
    <n v="67"/>
    <n v="3"/>
    <n v="1"/>
    <n v="1"/>
    <n v="3591"/>
    <n v="12719"/>
    <n v="1"/>
    <n v="25"/>
    <n v="4"/>
    <n v="3"/>
    <n v="80"/>
    <n v="1"/>
    <n v="3"/>
    <n v="3"/>
    <n v="3"/>
    <n v="2"/>
    <n v="1"/>
    <n v="2"/>
  </r>
  <r>
    <s v="No"/>
    <s v="Travel_Rarely"/>
    <x v="2"/>
    <s v="Current Employees"/>
    <x v="0"/>
    <x v="2"/>
    <x v="1352"/>
    <x v="1352"/>
    <x v="0"/>
    <x v="6"/>
    <x v="1"/>
    <s v="No"/>
    <s v="Y"/>
    <n v="5"/>
    <n v="-2"/>
    <n v="0"/>
    <x v="4"/>
    <x v="1"/>
    <m/>
    <n v="0"/>
    <n v="1"/>
    <n v="728"/>
    <n v="23"/>
    <x v="1"/>
    <n v="1"/>
    <n v="2"/>
    <n v="36"/>
    <n v="2"/>
    <n v="2"/>
    <n v="3"/>
    <n v="3540"/>
    <n v="7018"/>
    <n v="1"/>
    <n v="21"/>
    <n v="4"/>
    <n v="4"/>
    <n v="80"/>
    <n v="1"/>
    <n v="9"/>
    <n v="3"/>
    <n v="9"/>
    <n v="8"/>
    <n v="5"/>
    <n v="8"/>
  </r>
  <r>
    <s v="No"/>
    <s v="Travel_Rarely"/>
    <x v="0"/>
    <s v="Current Employees"/>
    <x v="0"/>
    <x v="3"/>
    <x v="1353"/>
    <x v="1353"/>
    <x v="0"/>
    <x v="0"/>
    <x v="1"/>
    <s v="No"/>
    <s v="Y"/>
    <n v="3"/>
    <n v="-2"/>
    <n v="0"/>
    <x v="0"/>
    <x v="1"/>
    <m/>
    <n v="0"/>
    <n v="1"/>
    <n v="337"/>
    <n v="8"/>
    <x v="3"/>
    <n v="1"/>
    <n v="3"/>
    <n v="54"/>
    <n v="3"/>
    <n v="2"/>
    <n v="1"/>
    <n v="4393"/>
    <n v="26841"/>
    <n v="5"/>
    <n v="21"/>
    <n v="4"/>
    <n v="3"/>
    <n v="80"/>
    <n v="1"/>
    <n v="14"/>
    <n v="3"/>
    <n v="5"/>
    <n v="4"/>
    <n v="1"/>
    <n v="4"/>
  </r>
  <r>
    <s v="No"/>
    <s v="Travel_Rarely"/>
    <x v="0"/>
    <s v="Current Employees"/>
    <x v="0"/>
    <x v="0"/>
    <x v="1354"/>
    <x v="1354"/>
    <x v="0"/>
    <x v="6"/>
    <x v="1"/>
    <s v="No"/>
    <s v="Y"/>
    <n v="5"/>
    <n v="-2"/>
    <n v="0"/>
    <x v="10"/>
    <x v="1"/>
    <m/>
    <n v="0"/>
    <n v="1"/>
    <n v="1402"/>
    <n v="28"/>
    <x v="2"/>
    <n v="1"/>
    <n v="2"/>
    <n v="98"/>
    <n v="2"/>
    <n v="1"/>
    <n v="3"/>
    <n v="2430"/>
    <n v="26204"/>
    <n v="0"/>
    <n v="23"/>
    <n v="4"/>
    <n v="1"/>
    <n v="80"/>
    <n v="2"/>
    <n v="6"/>
    <n v="3"/>
    <n v="5"/>
    <n v="3"/>
    <n v="4"/>
    <n v="2"/>
  </r>
  <r>
    <s v="No"/>
    <s v="Travel_Rarely"/>
    <x v="2"/>
    <s v="Current Employees"/>
    <x v="0"/>
    <x v="3"/>
    <x v="1355"/>
    <x v="1355"/>
    <x v="0"/>
    <x v="0"/>
    <x v="1"/>
    <s v="No"/>
    <s v="Y"/>
    <n v="2"/>
    <n v="-2"/>
    <n v="0"/>
    <x v="13"/>
    <x v="1"/>
    <m/>
    <n v="0"/>
    <n v="1"/>
    <n v="704"/>
    <n v="28"/>
    <x v="3"/>
    <n v="1"/>
    <n v="4"/>
    <n v="95"/>
    <n v="2"/>
    <n v="2"/>
    <n v="1"/>
    <n v="6712"/>
    <n v="8978"/>
    <n v="1"/>
    <n v="21"/>
    <n v="4"/>
    <n v="4"/>
    <n v="80"/>
    <n v="2"/>
    <n v="8"/>
    <n v="3"/>
    <n v="8"/>
    <n v="7"/>
    <n v="1"/>
    <n v="7"/>
  </r>
  <r>
    <s v="No"/>
    <s v="Non-Travel"/>
    <x v="3"/>
    <s v="Current Employees"/>
    <x v="1"/>
    <x v="0"/>
    <x v="1356"/>
    <x v="1356"/>
    <x v="1"/>
    <x v="4"/>
    <x v="2"/>
    <s v="No"/>
    <s v="Y"/>
    <n v="2"/>
    <n v="-2"/>
    <n v="0"/>
    <x v="29"/>
    <x v="1"/>
    <m/>
    <n v="0"/>
    <n v="1"/>
    <n v="667"/>
    <n v="1"/>
    <x v="2"/>
    <n v="1"/>
    <n v="3"/>
    <n v="57"/>
    <n v="3"/>
    <n v="2"/>
    <n v="3"/>
    <n v="6306"/>
    <n v="26236"/>
    <n v="1"/>
    <n v="21"/>
    <n v="4"/>
    <n v="1"/>
    <n v="80"/>
    <n v="1"/>
    <n v="13"/>
    <n v="2"/>
    <n v="13"/>
    <n v="12"/>
    <n v="1"/>
    <n v="9"/>
  </r>
  <r>
    <s v="No"/>
    <s v="Non-Travel"/>
    <x v="0"/>
    <s v="Current Employees"/>
    <x v="1"/>
    <x v="0"/>
    <x v="1357"/>
    <x v="1357"/>
    <x v="1"/>
    <x v="2"/>
    <x v="1"/>
    <s v="No"/>
    <s v="Y"/>
    <n v="3"/>
    <n v="-2"/>
    <n v="0"/>
    <x v="9"/>
    <x v="1"/>
    <m/>
    <n v="0"/>
    <n v="1"/>
    <n v="1351"/>
    <n v="9"/>
    <x v="2"/>
    <n v="1"/>
    <n v="1"/>
    <n v="66"/>
    <n v="4"/>
    <n v="1"/>
    <n v="2"/>
    <n v="2810"/>
    <n v="9238"/>
    <n v="1"/>
    <n v="22"/>
    <n v="4"/>
    <n v="2"/>
    <n v="80"/>
    <n v="0"/>
    <n v="5"/>
    <n v="3"/>
    <n v="5"/>
    <n v="4"/>
    <n v="0"/>
    <n v="2"/>
  </r>
  <r>
    <s v="No"/>
    <s v="Non-Travel"/>
    <x v="1"/>
    <s v="Current Employees"/>
    <x v="1"/>
    <x v="0"/>
    <x v="1358"/>
    <x v="1358"/>
    <x v="1"/>
    <x v="4"/>
    <x v="1"/>
    <s v="No"/>
    <s v="Y"/>
    <n v="3"/>
    <n v="-2"/>
    <n v="0"/>
    <x v="28"/>
    <x v="1"/>
    <m/>
    <n v="0"/>
    <n v="1"/>
    <n v="1238"/>
    <n v="1"/>
    <x v="1"/>
    <n v="1"/>
    <n v="3"/>
    <n v="74"/>
    <n v="2"/>
    <n v="3"/>
    <n v="3"/>
    <n v="10748"/>
    <n v="3395"/>
    <n v="3"/>
    <n v="23"/>
    <n v="4"/>
    <n v="4"/>
    <n v="80"/>
    <n v="1"/>
    <n v="25"/>
    <n v="2"/>
    <n v="23"/>
    <n v="15"/>
    <n v="14"/>
    <n v="4"/>
  </r>
  <r>
    <s v="No"/>
    <s v="Non-Travel"/>
    <x v="0"/>
    <s v="Current Employees"/>
    <x v="1"/>
    <x v="4"/>
    <x v="1359"/>
    <x v="1359"/>
    <x v="1"/>
    <x v="1"/>
    <x v="1"/>
    <s v="No"/>
    <s v="Y"/>
    <n v="1"/>
    <n v="-2"/>
    <n v="0"/>
    <x v="19"/>
    <x v="1"/>
    <m/>
    <n v="0"/>
    <n v="1"/>
    <n v="355"/>
    <n v="10"/>
    <x v="2"/>
    <n v="1"/>
    <n v="4"/>
    <n v="38"/>
    <n v="3"/>
    <n v="1"/>
    <n v="4"/>
    <n v="2936"/>
    <n v="6161"/>
    <n v="3"/>
    <n v="22"/>
    <n v="4"/>
    <n v="2"/>
    <n v="80"/>
    <n v="2"/>
    <n v="10"/>
    <n v="2"/>
    <n v="6"/>
    <n v="3"/>
    <n v="3"/>
    <n v="3"/>
  </r>
  <r>
    <s v="No"/>
    <s v="Non-Travel"/>
    <x v="2"/>
    <s v="Current Employees"/>
    <x v="1"/>
    <x v="2"/>
    <x v="1360"/>
    <x v="1360"/>
    <x v="1"/>
    <x v="2"/>
    <x v="0"/>
    <s v="No"/>
    <s v="Y"/>
    <n v="5"/>
    <n v="-2"/>
    <n v="0"/>
    <x v="25"/>
    <x v="1"/>
    <m/>
    <n v="0"/>
    <n v="1"/>
    <n v="786"/>
    <n v="7"/>
    <x v="3"/>
    <n v="1"/>
    <n v="4"/>
    <n v="76"/>
    <n v="3"/>
    <n v="1"/>
    <n v="4"/>
    <n v="2570"/>
    <n v="11925"/>
    <n v="1"/>
    <n v="20"/>
    <n v="4"/>
    <n v="3"/>
    <n v="80"/>
    <n v="0"/>
    <n v="7"/>
    <n v="3"/>
    <n v="7"/>
    <n v="7"/>
    <n v="5"/>
    <n v="7"/>
  </r>
  <r>
    <s v="No"/>
    <s v="Non-Travel"/>
    <x v="3"/>
    <s v="Current Employees"/>
    <x v="0"/>
    <x v="2"/>
    <x v="1361"/>
    <x v="1361"/>
    <x v="1"/>
    <x v="5"/>
    <x v="2"/>
    <s v="No"/>
    <s v="Y"/>
    <n v="0"/>
    <n v="-2"/>
    <n v="0"/>
    <x v="34"/>
    <x v="1"/>
    <m/>
    <n v="0"/>
    <n v="1"/>
    <n v="350"/>
    <n v="2"/>
    <x v="3"/>
    <n v="1"/>
    <n v="2"/>
    <n v="52"/>
    <n v="3"/>
    <n v="4"/>
    <n v="2"/>
    <n v="16291"/>
    <n v="22577"/>
    <n v="4"/>
    <n v="22"/>
    <n v="4"/>
    <n v="4"/>
    <n v="80"/>
    <n v="1"/>
    <n v="37"/>
    <n v="2"/>
    <n v="16"/>
    <n v="9"/>
    <n v="14"/>
    <n v="14"/>
  </r>
  <r>
    <s v="No"/>
    <s v="Non-Travel"/>
    <x v="0"/>
    <s v="Current Employees"/>
    <x v="0"/>
    <x v="3"/>
    <x v="1362"/>
    <x v="1362"/>
    <x v="1"/>
    <x v="0"/>
    <x v="2"/>
    <s v="No"/>
    <s v="Y"/>
    <n v="4"/>
    <n v="-2"/>
    <n v="0"/>
    <x v="9"/>
    <x v="1"/>
    <m/>
    <n v="0"/>
    <n v="1"/>
    <n v="301"/>
    <n v="15"/>
    <x v="2"/>
    <n v="1"/>
    <n v="4"/>
    <n v="88"/>
    <n v="1"/>
    <n v="2"/>
    <n v="1"/>
    <n v="5406"/>
    <n v="10436"/>
    <n v="1"/>
    <n v="24"/>
    <n v="4"/>
    <n v="1"/>
    <n v="80"/>
    <n v="1"/>
    <n v="15"/>
    <n v="2"/>
    <n v="15"/>
    <n v="12"/>
    <n v="11"/>
    <n v="11"/>
  </r>
  <r>
    <s v="No"/>
    <s v="Travel_Frequently"/>
    <x v="0"/>
    <s v="Current Employees"/>
    <x v="2"/>
    <x v="5"/>
    <x v="1363"/>
    <x v="1363"/>
    <x v="1"/>
    <x v="8"/>
    <x v="0"/>
    <s v="No"/>
    <s v="Y"/>
    <n v="2"/>
    <n v="-2"/>
    <n v="0"/>
    <x v="9"/>
    <x v="1"/>
    <m/>
    <n v="0"/>
    <n v="1"/>
    <n v="1213"/>
    <n v="2"/>
    <x v="1"/>
    <n v="1"/>
    <n v="2"/>
    <n v="94"/>
    <n v="2"/>
    <n v="2"/>
    <n v="4"/>
    <n v="3886"/>
    <n v="4223"/>
    <n v="1"/>
    <n v="21"/>
    <n v="4"/>
    <n v="4"/>
    <n v="80"/>
    <n v="0"/>
    <n v="10"/>
    <n v="2"/>
    <n v="10"/>
    <n v="1"/>
    <n v="0"/>
    <n v="8"/>
  </r>
  <r>
    <s v="No"/>
    <s v="Travel_Frequently"/>
    <x v="2"/>
    <s v="Current Employees"/>
    <x v="1"/>
    <x v="0"/>
    <x v="1364"/>
    <x v="1364"/>
    <x v="1"/>
    <x v="4"/>
    <x v="2"/>
    <s v="No"/>
    <s v="Y"/>
    <n v="2"/>
    <n v="-2"/>
    <n v="0"/>
    <x v="3"/>
    <x v="1"/>
    <m/>
    <n v="0"/>
    <n v="1"/>
    <n v="1303"/>
    <n v="7"/>
    <x v="0"/>
    <n v="1"/>
    <n v="4"/>
    <n v="36"/>
    <n v="3"/>
    <n v="2"/>
    <n v="3"/>
    <n v="5968"/>
    <n v="18079"/>
    <n v="1"/>
    <n v="20"/>
    <n v="4"/>
    <n v="3"/>
    <n v="80"/>
    <n v="3"/>
    <n v="9"/>
    <n v="3"/>
    <n v="9"/>
    <n v="7"/>
    <n v="2"/>
    <n v="8"/>
  </r>
  <r>
    <s v="No"/>
    <s v="Travel_Frequently"/>
    <x v="2"/>
    <s v="Current Employees"/>
    <x v="1"/>
    <x v="0"/>
    <x v="1365"/>
    <x v="1365"/>
    <x v="1"/>
    <x v="1"/>
    <x v="1"/>
    <s v="No"/>
    <s v="Y"/>
    <n v="6"/>
    <n v="-2"/>
    <n v="0"/>
    <x v="12"/>
    <x v="1"/>
    <m/>
    <n v="0"/>
    <n v="1"/>
    <n v="1125"/>
    <n v="1"/>
    <x v="3"/>
    <n v="1"/>
    <n v="4"/>
    <n v="48"/>
    <n v="1"/>
    <n v="2"/>
    <n v="1"/>
    <n v="5003"/>
    <n v="5771"/>
    <n v="1"/>
    <n v="21"/>
    <n v="4"/>
    <n v="2"/>
    <n v="80"/>
    <n v="0"/>
    <n v="10"/>
    <n v="3"/>
    <n v="10"/>
    <n v="8"/>
    <n v="8"/>
    <n v="7"/>
  </r>
  <r>
    <s v="No"/>
    <s v="Travel_Frequently"/>
    <x v="1"/>
    <s v="Current Employees"/>
    <x v="1"/>
    <x v="2"/>
    <x v="1366"/>
    <x v="1366"/>
    <x v="1"/>
    <x v="5"/>
    <x v="1"/>
    <s v="No"/>
    <s v="Y"/>
    <n v="3"/>
    <n v="-2"/>
    <n v="0"/>
    <x v="26"/>
    <x v="1"/>
    <m/>
    <n v="0"/>
    <n v="1"/>
    <n v="365"/>
    <n v="4"/>
    <x v="4"/>
    <n v="1"/>
    <n v="3"/>
    <n v="89"/>
    <n v="2"/>
    <n v="4"/>
    <n v="4"/>
    <n v="15202"/>
    <n v="5602"/>
    <n v="2"/>
    <n v="25"/>
    <n v="4"/>
    <n v="2"/>
    <n v="80"/>
    <n v="1"/>
    <n v="23"/>
    <n v="3"/>
    <n v="2"/>
    <n v="2"/>
    <n v="2"/>
    <n v="2"/>
  </r>
  <r>
    <s v="No"/>
    <s v="Travel_Frequently"/>
    <x v="0"/>
    <s v="Current Employees"/>
    <x v="0"/>
    <x v="0"/>
    <x v="1367"/>
    <x v="1367"/>
    <x v="1"/>
    <x v="0"/>
    <x v="1"/>
    <s v="No"/>
    <s v="Y"/>
    <n v="5"/>
    <n v="-2"/>
    <n v="0"/>
    <x v="23"/>
    <x v="1"/>
    <m/>
    <n v="0"/>
    <n v="1"/>
    <n v="1422"/>
    <n v="2"/>
    <x v="2"/>
    <n v="1"/>
    <n v="1"/>
    <n v="92"/>
    <n v="3"/>
    <n v="2"/>
    <n v="4"/>
    <n v="5675"/>
    <n v="19246"/>
    <n v="1"/>
    <n v="20"/>
    <n v="4"/>
    <n v="3"/>
    <n v="80"/>
    <n v="1"/>
    <n v="7"/>
    <n v="3"/>
    <n v="7"/>
    <n v="7"/>
    <n v="7"/>
    <n v="7"/>
  </r>
  <r>
    <s v="No"/>
    <s v="Travel_Rarely"/>
    <x v="2"/>
    <s v="Current Employees"/>
    <x v="2"/>
    <x v="0"/>
    <x v="1368"/>
    <x v="1368"/>
    <x v="1"/>
    <x v="8"/>
    <x v="2"/>
    <s v="No"/>
    <s v="Y"/>
    <n v="3"/>
    <n v="-2"/>
    <n v="0"/>
    <x v="7"/>
    <x v="1"/>
    <m/>
    <n v="0"/>
    <n v="1"/>
    <n v="330"/>
    <n v="1"/>
    <x v="3"/>
    <n v="1"/>
    <n v="3"/>
    <n v="46"/>
    <n v="3"/>
    <n v="1"/>
    <n v="3"/>
    <n v="2064"/>
    <n v="15428"/>
    <n v="0"/>
    <n v="21"/>
    <n v="4"/>
    <n v="1"/>
    <n v="80"/>
    <n v="1"/>
    <n v="6"/>
    <n v="4"/>
    <n v="5"/>
    <n v="3"/>
    <n v="1"/>
    <n v="3"/>
  </r>
  <r>
    <s v="No"/>
    <s v="Travel_Rarely"/>
    <x v="3"/>
    <s v="Current Employees"/>
    <x v="1"/>
    <x v="2"/>
    <x v="1369"/>
    <x v="1369"/>
    <x v="1"/>
    <x v="4"/>
    <x v="2"/>
    <s v="No"/>
    <s v="Y"/>
    <n v="2"/>
    <n v="-2"/>
    <n v="0"/>
    <x v="42"/>
    <x v="1"/>
    <m/>
    <n v="0"/>
    <n v="1"/>
    <n v="370"/>
    <n v="1"/>
    <x v="2"/>
    <n v="1"/>
    <n v="3"/>
    <n v="92"/>
    <n v="1"/>
    <n v="3"/>
    <n v="4"/>
    <n v="10883"/>
    <n v="20467"/>
    <n v="3"/>
    <n v="20"/>
    <n v="4"/>
    <n v="3"/>
    <n v="80"/>
    <n v="1"/>
    <n v="19"/>
    <n v="4"/>
    <n v="1"/>
    <n v="0"/>
    <n v="0"/>
    <n v="0"/>
  </r>
  <r>
    <s v="No"/>
    <s v="Travel_Rarely"/>
    <x v="0"/>
    <s v="Current Employees"/>
    <x v="1"/>
    <x v="0"/>
    <x v="1370"/>
    <x v="1370"/>
    <x v="1"/>
    <x v="4"/>
    <x v="2"/>
    <s v="No"/>
    <s v="Y"/>
    <n v="3"/>
    <n v="-2"/>
    <n v="0"/>
    <x v="9"/>
    <x v="1"/>
    <m/>
    <n v="0"/>
    <n v="1"/>
    <n v="1040"/>
    <n v="3"/>
    <x v="0"/>
    <n v="1"/>
    <n v="4"/>
    <n v="79"/>
    <n v="4"/>
    <n v="2"/>
    <n v="1"/>
    <n v="6842"/>
    <n v="26308"/>
    <n v="6"/>
    <n v="20"/>
    <n v="4"/>
    <n v="1"/>
    <n v="80"/>
    <n v="1"/>
    <n v="13"/>
    <n v="3"/>
    <n v="5"/>
    <n v="4"/>
    <n v="0"/>
    <n v="4"/>
  </r>
  <r>
    <s v="No"/>
    <s v="Travel_Rarely"/>
    <x v="0"/>
    <s v="Current Employees"/>
    <x v="1"/>
    <x v="0"/>
    <x v="1371"/>
    <x v="1371"/>
    <x v="1"/>
    <x v="2"/>
    <x v="2"/>
    <s v="No"/>
    <s v="Y"/>
    <n v="2"/>
    <n v="-2"/>
    <n v="0"/>
    <x v="0"/>
    <x v="1"/>
    <m/>
    <n v="0"/>
    <n v="1"/>
    <n v="548"/>
    <n v="9"/>
    <x v="2"/>
    <n v="1"/>
    <n v="3"/>
    <n v="94"/>
    <n v="3"/>
    <n v="1"/>
    <n v="1"/>
    <n v="2289"/>
    <n v="20520"/>
    <n v="1"/>
    <n v="20"/>
    <n v="4"/>
    <n v="2"/>
    <n v="80"/>
    <n v="2"/>
    <n v="5"/>
    <n v="3"/>
    <n v="5"/>
    <n v="3"/>
    <n v="0"/>
    <n v="4"/>
  </r>
  <r>
    <s v="No"/>
    <s v="Travel_Rarely"/>
    <x v="0"/>
    <s v="Current Employees"/>
    <x v="1"/>
    <x v="2"/>
    <x v="1372"/>
    <x v="1372"/>
    <x v="1"/>
    <x v="2"/>
    <x v="2"/>
    <s v="No"/>
    <s v="Y"/>
    <n v="6"/>
    <n v="-2"/>
    <n v="0"/>
    <x v="19"/>
    <x v="1"/>
    <m/>
    <n v="0"/>
    <n v="1"/>
    <n v="855"/>
    <n v="12"/>
    <x v="3"/>
    <n v="1"/>
    <n v="2"/>
    <n v="57"/>
    <n v="3"/>
    <n v="1"/>
    <n v="2"/>
    <n v="2766"/>
    <n v="8952"/>
    <n v="8"/>
    <n v="22"/>
    <n v="4"/>
    <n v="2"/>
    <n v="80"/>
    <n v="3"/>
    <n v="7"/>
    <n v="2"/>
    <n v="5"/>
    <n v="3"/>
    <n v="0"/>
    <n v="4"/>
  </r>
  <r>
    <s v="No"/>
    <s v="Travel_Rarely"/>
    <x v="0"/>
    <s v="Current Employees"/>
    <x v="1"/>
    <x v="2"/>
    <x v="1373"/>
    <x v="1373"/>
    <x v="1"/>
    <x v="3"/>
    <x v="1"/>
    <s v="No"/>
    <s v="Y"/>
    <n v="3"/>
    <n v="-2"/>
    <n v="0"/>
    <x v="22"/>
    <x v="1"/>
    <m/>
    <n v="0"/>
    <n v="1"/>
    <n v="492"/>
    <n v="12"/>
    <x v="3"/>
    <n v="1"/>
    <n v="4"/>
    <n v="66"/>
    <n v="3"/>
    <n v="2"/>
    <n v="2"/>
    <n v="5295"/>
    <n v="7693"/>
    <n v="4"/>
    <n v="21"/>
    <n v="4"/>
    <n v="3"/>
    <n v="80"/>
    <n v="0"/>
    <n v="7"/>
    <n v="3"/>
    <n v="5"/>
    <n v="4"/>
    <n v="1"/>
    <n v="0"/>
  </r>
  <r>
    <s v="No"/>
    <s v="Travel_Rarely"/>
    <x v="0"/>
    <s v="Current Employees"/>
    <x v="1"/>
    <x v="2"/>
    <x v="1374"/>
    <x v="1374"/>
    <x v="1"/>
    <x v="3"/>
    <x v="1"/>
    <s v="No"/>
    <s v="Y"/>
    <n v="3"/>
    <n v="-2"/>
    <n v="0"/>
    <x v="22"/>
    <x v="1"/>
    <m/>
    <n v="0"/>
    <n v="1"/>
    <n v="867"/>
    <n v="9"/>
    <x v="0"/>
    <n v="1"/>
    <n v="1"/>
    <n v="87"/>
    <n v="3"/>
    <n v="2"/>
    <n v="1"/>
    <n v="5151"/>
    <n v="12315"/>
    <n v="1"/>
    <n v="25"/>
    <n v="4"/>
    <n v="4"/>
    <n v="80"/>
    <n v="1"/>
    <n v="10"/>
    <n v="3"/>
    <n v="10"/>
    <n v="0"/>
    <n v="7"/>
    <n v="9"/>
  </r>
  <r>
    <s v="No"/>
    <s v="Travel_Rarely"/>
    <x v="3"/>
    <s v="Current Employees"/>
    <x v="1"/>
    <x v="4"/>
    <x v="1375"/>
    <x v="1375"/>
    <x v="1"/>
    <x v="1"/>
    <x v="1"/>
    <s v="No"/>
    <s v="Y"/>
    <n v="2"/>
    <n v="-2"/>
    <n v="0"/>
    <x v="27"/>
    <x v="1"/>
    <m/>
    <n v="0"/>
    <n v="1"/>
    <n v="836"/>
    <n v="2"/>
    <x v="2"/>
    <n v="1"/>
    <n v="4"/>
    <n v="98"/>
    <n v="2"/>
    <n v="1"/>
    <n v="4"/>
    <n v="2662"/>
    <n v="7975"/>
    <n v="8"/>
    <n v="20"/>
    <n v="4"/>
    <n v="2"/>
    <n v="80"/>
    <n v="1"/>
    <n v="19"/>
    <n v="4"/>
    <n v="5"/>
    <n v="2"/>
    <n v="0"/>
    <n v="4"/>
  </r>
  <r>
    <s v="No"/>
    <s v="Travel_Rarely"/>
    <x v="3"/>
    <s v="Current Employees"/>
    <x v="1"/>
    <x v="0"/>
    <x v="1376"/>
    <x v="1376"/>
    <x v="1"/>
    <x v="1"/>
    <x v="1"/>
    <s v="No"/>
    <s v="Y"/>
    <n v="2"/>
    <n v="-2"/>
    <n v="0"/>
    <x v="38"/>
    <x v="1"/>
    <m/>
    <n v="0"/>
    <n v="1"/>
    <n v="405"/>
    <n v="1"/>
    <x v="0"/>
    <n v="1"/>
    <n v="2"/>
    <n v="93"/>
    <n v="4"/>
    <n v="2"/>
    <n v="3"/>
    <n v="4900"/>
    <n v="2721"/>
    <n v="0"/>
    <n v="24"/>
    <n v="4"/>
    <n v="1"/>
    <n v="80"/>
    <n v="1"/>
    <n v="13"/>
    <n v="2"/>
    <n v="12"/>
    <n v="9"/>
    <n v="2"/>
    <n v="8"/>
  </r>
  <r>
    <s v="No"/>
    <s v="Travel_Rarely"/>
    <x v="0"/>
    <s v="Current Employees"/>
    <x v="1"/>
    <x v="0"/>
    <x v="1377"/>
    <x v="1377"/>
    <x v="1"/>
    <x v="7"/>
    <x v="1"/>
    <s v="No"/>
    <s v="Y"/>
    <n v="3"/>
    <n v="-2"/>
    <n v="0"/>
    <x v="23"/>
    <x v="1"/>
    <m/>
    <n v="0"/>
    <n v="1"/>
    <n v="1291"/>
    <n v="15"/>
    <x v="0"/>
    <n v="1"/>
    <n v="3"/>
    <n v="65"/>
    <n v="2"/>
    <n v="4"/>
    <n v="3"/>
    <n v="17603"/>
    <n v="3525"/>
    <n v="1"/>
    <n v="24"/>
    <n v="4"/>
    <n v="1"/>
    <n v="80"/>
    <n v="1"/>
    <n v="14"/>
    <n v="3"/>
    <n v="14"/>
    <n v="10"/>
    <n v="6"/>
    <n v="11"/>
  </r>
  <r>
    <s v="No"/>
    <s v="Travel_Rarely"/>
    <x v="0"/>
    <s v="Current Employees"/>
    <x v="1"/>
    <x v="0"/>
    <x v="1378"/>
    <x v="1378"/>
    <x v="1"/>
    <x v="1"/>
    <x v="1"/>
    <s v="No"/>
    <s v="Y"/>
    <n v="3"/>
    <n v="-2"/>
    <n v="0"/>
    <x v="0"/>
    <x v="1"/>
    <m/>
    <n v="0"/>
    <n v="1"/>
    <n v="642"/>
    <n v="1"/>
    <x v="3"/>
    <n v="1"/>
    <n v="4"/>
    <n v="76"/>
    <n v="3"/>
    <n v="1"/>
    <n v="4"/>
    <n v="2782"/>
    <n v="21412"/>
    <n v="3"/>
    <n v="22"/>
    <n v="4"/>
    <n v="1"/>
    <n v="80"/>
    <n v="1"/>
    <n v="12"/>
    <n v="3"/>
    <n v="5"/>
    <n v="3"/>
    <n v="1"/>
    <n v="0"/>
  </r>
  <r>
    <s v="No"/>
    <s v="Travel_Rarely"/>
    <x v="1"/>
    <s v="Current Employees"/>
    <x v="1"/>
    <x v="4"/>
    <x v="1379"/>
    <x v="1379"/>
    <x v="1"/>
    <x v="1"/>
    <x v="1"/>
    <s v="No"/>
    <s v="Y"/>
    <n v="3"/>
    <n v="-2"/>
    <n v="0"/>
    <x v="28"/>
    <x v="1"/>
    <m/>
    <n v="0"/>
    <n v="1"/>
    <n v="950"/>
    <n v="28"/>
    <x v="3"/>
    <n v="1"/>
    <n v="4"/>
    <n v="97"/>
    <n v="3"/>
    <n v="1"/>
    <n v="4"/>
    <n v="2132"/>
    <n v="4585"/>
    <n v="4"/>
    <n v="20"/>
    <n v="4"/>
    <n v="4"/>
    <n v="80"/>
    <n v="1"/>
    <n v="8"/>
    <n v="3"/>
    <n v="5"/>
    <n v="4"/>
    <n v="0"/>
    <n v="3"/>
  </r>
  <r>
    <s v="No"/>
    <s v="Travel_Rarely"/>
    <x v="1"/>
    <s v="Current Employees"/>
    <x v="1"/>
    <x v="2"/>
    <x v="1380"/>
    <x v="1380"/>
    <x v="1"/>
    <x v="4"/>
    <x v="0"/>
    <s v="No"/>
    <s v="Y"/>
    <n v="3"/>
    <n v="-2"/>
    <n v="0"/>
    <x v="40"/>
    <x v="1"/>
    <m/>
    <n v="0"/>
    <n v="1"/>
    <n v="1180"/>
    <n v="25"/>
    <x v="3"/>
    <n v="1"/>
    <n v="1"/>
    <n v="84"/>
    <n v="3"/>
    <n v="3"/>
    <n v="3"/>
    <n v="8633"/>
    <n v="13084"/>
    <n v="2"/>
    <n v="23"/>
    <n v="4"/>
    <n v="2"/>
    <n v="80"/>
    <n v="0"/>
    <n v="25"/>
    <n v="3"/>
    <n v="17"/>
    <n v="14"/>
    <n v="12"/>
    <n v="11"/>
  </r>
  <r>
    <s v="No"/>
    <s v="Travel_Rarely"/>
    <x v="0"/>
    <s v="Current Employees"/>
    <x v="1"/>
    <x v="2"/>
    <x v="1381"/>
    <x v="1381"/>
    <x v="1"/>
    <x v="7"/>
    <x v="0"/>
    <s v="No"/>
    <s v="Y"/>
    <n v="3"/>
    <n v="-2"/>
    <n v="0"/>
    <x v="22"/>
    <x v="1"/>
    <m/>
    <n v="0"/>
    <n v="1"/>
    <n v="1253"/>
    <n v="10"/>
    <x v="1"/>
    <n v="1"/>
    <n v="3"/>
    <n v="65"/>
    <n v="3"/>
    <n v="3"/>
    <n v="3"/>
    <n v="13464"/>
    <n v="7914"/>
    <n v="7"/>
    <n v="21"/>
    <n v="4"/>
    <n v="3"/>
    <n v="80"/>
    <n v="0"/>
    <n v="9"/>
    <n v="3"/>
    <n v="4"/>
    <n v="3"/>
    <n v="2"/>
    <n v="2"/>
  </r>
  <r>
    <s v="No"/>
    <s v="Travel_Rarely"/>
    <x v="2"/>
    <s v="Current Employees"/>
    <x v="1"/>
    <x v="2"/>
    <x v="1382"/>
    <x v="1382"/>
    <x v="1"/>
    <x v="5"/>
    <x v="0"/>
    <s v="No"/>
    <s v="Y"/>
    <n v="5"/>
    <n v="-2"/>
    <n v="0"/>
    <x v="5"/>
    <x v="1"/>
    <m/>
    <n v="0"/>
    <n v="1"/>
    <n v="495"/>
    <n v="10"/>
    <x v="3"/>
    <n v="1"/>
    <n v="3"/>
    <n v="64"/>
    <n v="3"/>
    <n v="3"/>
    <n v="4"/>
    <n v="11244"/>
    <n v="21072"/>
    <n v="2"/>
    <n v="25"/>
    <n v="4"/>
    <n v="2"/>
    <n v="80"/>
    <n v="0"/>
    <n v="10"/>
    <n v="4"/>
    <n v="5"/>
    <n v="2"/>
    <n v="0"/>
    <n v="0"/>
  </r>
  <r>
    <s v="No"/>
    <s v="Travel_Rarely"/>
    <x v="2"/>
    <s v="Current Employees"/>
    <x v="1"/>
    <x v="0"/>
    <x v="1383"/>
    <x v="1383"/>
    <x v="1"/>
    <x v="3"/>
    <x v="0"/>
    <s v="No"/>
    <s v="Y"/>
    <n v="1"/>
    <n v="-2"/>
    <n v="0"/>
    <x v="5"/>
    <x v="1"/>
    <m/>
    <n v="0"/>
    <n v="1"/>
    <n v="1373"/>
    <n v="5"/>
    <x v="2"/>
    <n v="1"/>
    <n v="4"/>
    <n v="56"/>
    <n v="2"/>
    <n v="2"/>
    <n v="4"/>
    <n v="9679"/>
    <n v="10138"/>
    <n v="8"/>
    <n v="24"/>
    <n v="4"/>
    <n v="2"/>
    <n v="80"/>
    <n v="0"/>
    <n v="8"/>
    <n v="3"/>
    <n v="1"/>
    <n v="0"/>
    <n v="0"/>
    <n v="0"/>
  </r>
  <r>
    <s v="No"/>
    <s v="Travel_Rarely"/>
    <x v="0"/>
    <s v="Current Employees"/>
    <x v="1"/>
    <x v="1"/>
    <x v="1384"/>
    <x v="1384"/>
    <x v="1"/>
    <x v="5"/>
    <x v="0"/>
    <s v="No"/>
    <s v="Y"/>
    <n v="2"/>
    <n v="-2"/>
    <n v="0"/>
    <x v="19"/>
    <x v="1"/>
    <m/>
    <n v="0"/>
    <n v="1"/>
    <n v="1059"/>
    <n v="9"/>
    <x v="0"/>
    <n v="1"/>
    <n v="4"/>
    <n v="93"/>
    <n v="2"/>
    <n v="5"/>
    <n v="4"/>
    <n v="19613"/>
    <n v="26362"/>
    <n v="8"/>
    <n v="22"/>
    <n v="4"/>
    <n v="4"/>
    <n v="80"/>
    <n v="0"/>
    <n v="24"/>
    <n v="3"/>
    <n v="1"/>
    <n v="0"/>
    <n v="0"/>
    <n v="1"/>
  </r>
  <r>
    <s v="No"/>
    <s v="Travel_Rarely"/>
    <x v="3"/>
    <s v="Current Employees"/>
    <x v="0"/>
    <x v="3"/>
    <x v="1385"/>
    <x v="1385"/>
    <x v="1"/>
    <x v="5"/>
    <x v="1"/>
    <s v="No"/>
    <s v="Y"/>
    <n v="3"/>
    <n v="-2"/>
    <n v="0"/>
    <x v="27"/>
    <x v="1"/>
    <m/>
    <n v="0"/>
    <n v="1"/>
    <n v="685"/>
    <n v="26"/>
    <x v="4"/>
    <n v="1"/>
    <n v="3"/>
    <n v="60"/>
    <n v="2"/>
    <n v="5"/>
    <n v="1"/>
    <n v="19586"/>
    <n v="23037"/>
    <n v="1"/>
    <n v="21"/>
    <n v="4"/>
    <n v="3"/>
    <n v="80"/>
    <n v="1"/>
    <n v="36"/>
    <n v="3"/>
    <n v="36"/>
    <n v="6"/>
    <n v="2"/>
    <n v="13"/>
  </r>
  <r>
    <s v="No"/>
    <s v="Travel_Rarely"/>
    <x v="2"/>
    <s v="Current Employees"/>
    <x v="0"/>
    <x v="4"/>
    <x v="1386"/>
    <x v="1386"/>
    <x v="1"/>
    <x v="0"/>
    <x v="1"/>
    <s v="No"/>
    <s v="Y"/>
    <n v="5"/>
    <n v="-2"/>
    <n v="0"/>
    <x v="13"/>
    <x v="1"/>
    <m/>
    <n v="0"/>
    <n v="1"/>
    <n v="810"/>
    <n v="8"/>
    <x v="0"/>
    <n v="1"/>
    <n v="4"/>
    <n v="92"/>
    <n v="4"/>
    <n v="2"/>
    <n v="4"/>
    <n v="6799"/>
    <n v="22128"/>
    <n v="1"/>
    <n v="21"/>
    <n v="4"/>
    <n v="3"/>
    <n v="80"/>
    <n v="2"/>
    <n v="10"/>
    <n v="3"/>
    <n v="10"/>
    <n v="8"/>
    <n v="4"/>
    <n v="8"/>
  </r>
  <r>
    <s v="No"/>
    <s v="Travel_Rarely"/>
    <x v="2"/>
    <s v="Current Employees"/>
    <x v="0"/>
    <x v="3"/>
    <x v="1387"/>
    <x v="1387"/>
    <x v="1"/>
    <x v="0"/>
    <x v="0"/>
    <s v="No"/>
    <s v="Y"/>
    <n v="3"/>
    <n v="-2"/>
    <n v="0"/>
    <x v="13"/>
    <x v="1"/>
    <m/>
    <n v="0"/>
    <n v="1"/>
    <n v="937"/>
    <n v="1"/>
    <x v="3"/>
    <n v="1"/>
    <n v="1"/>
    <n v="32"/>
    <n v="3"/>
    <n v="3"/>
    <n v="1"/>
    <n v="9888"/>
    <n v="6770"/>
    <n v="1"/>
    <n v="21"/>
    <n v="4"/>
    <n v="1"/>
    <n v="80"/>
    <n v="0"/>
    <n v="14"/>
    <n v="2"/>
    <n v="14"/>
    <n v="8"/>
    <n v="2"/>
    <n v="1"/>
  </r>
  <r>
    <s v="No"/>
    <s v="Non-Travel"/>
    <x v="1"/>
    <s v="Current Employees"/>
    <x v="1"/>
    <x v="2"/>
    <x v="1388"/>
    <x v="1388"/>
    <x v="0"/>
    <x v="3"/>
    <x v="1"/>
    <s v="Yes"/>
    <s v="Y"/>
    <n v="2"/>
    <n v="-2"/>
    <n v="0"/>
    <x v="16"/>
    <x v="1"/>
    <m/>
    <n v="0"/>
    <n v="1"/>
    <n v="661"/>
    <n v="1"/>
    <x v="2"/>
    <n v="1"/>
    <n v="1"/>
    <n v="60"/>
    <n v="2"/>
    <n v="4"/>
    <n v="3"/>
    <n v="12965"/>
    <n v="22308"/>
    <n v="4"/>
    <n v="20"/>
    <n v="4"/>
    <n v="4"/>
    <n v="80"/>
    <n v="3"/>
    <n v="27"/>
    <n v="2"/>
    <n v="3"/>
    <n v="2"/>
    <n v="0"/>
    <n v="2"/>
  </r>
  <r>
    <s v="No"/>
    <s v="Non-Travel"/>
    <x v="2"/>
    <s v="Current Employees"/>
    <x v="0"/>
    <x v="0"/>
    <x v="1389"/>
    <x v="1389"/>
    <x v="0"/>
    <x v="0"/>
    <x v="2"/>
    <s v="Yes"/>
    <s v="Y"/>
    <n v="2"/>
    <n v="-2"/>
    <n v="0"/>
    <x v="3"/>
    <x v="1"/>
    <m/>
    <n v="0"/>
    <n v="1"/>
    <n v="530"/>
    <n v="16"/>
    <x v="3"/>
    <n v="1"/>
    <n v="3"/>
    <n v="36"/>
    <n v="3"/>
    <n v="2"/>
    <n v="4"/>
    <n v="5368"/>
    <n v="16130"/>
    <n v="1"/>
    <n v="25"/>
    <n v="4"/>
    <n v="3"/>
    <n v="80"/>
    <n v="1"/>
    <n v="7"/>
    <n v="3"/>
    <n v="6"/>
    <n v="5"/>
    <n v="1"/>
    <n v="2"/>
  </r>
  <r>
    <s v="No"/>
    <s v="Travel_Rarely"/>
    <x v="0"/>
    <s v="Current Employees"/>
    <x v="1"/>
    <x v="0"/>
    <x v="1390"/>
    <x v="1390"/>
    <x v="0"/>
    <x v="7"/>
    <x v="1"/>
    <s v="Yes"/>
    <s v="Y"/>
    <n v="2"/>
    <n v="-2"/>
    <n v="0"/>
    <x v="2"/>
    <x v="1"/>
    <m/>
    <n v="0"/>
    <n v="1"/>
    <n v="161"/>
    <n v="10"/>
    <x v="3"/>
    <n v="1"/>
    <n v="3"/>
    <n v="42"/>
    <n v="4"/>
    <n v="3"/>
    <n v="4"/>
    <n v="13744"/>
    <n v="15471"/>
    <n v="1"/>
    <n v="25"/>
    <n v="4"/>
    <n v="1"/>
    <n v="80"/>
    <n v="1"/>
    <n v="16"/>
    <n v="3"/>
    <n v="16"/>
    <n v="11"/>
    <n v="6"/>
    <n v="8"/>
  </r>
  <r>
    <s v="No"/>
    <s v="Travel_Rarely"/>
    <x v="3"/>
    <s v="Current Employees"/>
    <x v="1"/>
    <x v="2"/>
    <x v="1391"/>
    <x v="1391"/>
    <x v="0"/>
    <x v="7"/>
    <x v="1"/>
    <s v="Yes"/>
    <s v="Y"/>
    <n v="3"/>
    <n v="-2"/>
    <n v="0"/>
    <x v="34"/>
    <x v="1"/>
    <m/>
    <n v="0"/>
    <n v="1"/>
    <n v="1055"/>
    <n v="1"/>
    <x v="3"/>
    <n v="1"/>
    <n v="4"/>
    <n v="76"/>
    <n v="3"/>
    <n v="5"/>
    <n v="1"/>
    <n v="19701"/>
    <n v="22456"/>
    <n v="3"/>
    <n v="21"/>
    <n v="4"/>
    <n v="3"/>
    <n v="80"/>
    <n v="1"/>
    <n v="32"/>
    <n v="3"/>
    <n v="9"/>
    <n v="8"/>
    <n v="1"/>
    <n v="5"/>
  </r>
  <r>
    <s v="No"/>
    <s v="Travel_Rarely"/>
    <x v="0"/>
    <s v="Current Employees"/>
    <x v="1"/>
    <x v="1"/>
    <x v="1392"/>
    <x v="1392"/>
    <x v="0"/>
    <x v="1"/>
    <x v="1"/>
    <s v="Yes"/>
    <s v="Y"/>
    <n v="2"/>
    <n v="-2"/>
    <n v="0"/>
    <x v="9"/>
    <x v="1"/>
    <m/>
    <n v="0"/>
    <n v="1"/>
    <n v="430"/>
    <n v="2"/>
    <x v="2"/>
    <n v="1"/>
    <n v="4"/>
    <n v="73"/>
    <n v="3"/>
    <n v="2"/>
    <n v="2"/>
    <n v="6962"/>
    <n v="19573"/>
    <n v="4"/>
    <n v="22"/>
    <n v="4"/>
    <n v="4"/>
    <n v="80"/>
    <n v="1"/>
    <n v="15"/>
    <n v="3"/>
    <n v="1"/>
    <n v="0"/>
    <n v="0"/>
    <n v="0"/>
  </r>
  <r>
    <s v="No"/>
    <s v="Travel_Rarely"/>
    <x v="2"/>
    <s v="Current Employees"/>
    <x v="0"/>
    <x v="1"/>
    <x v="1393"/>
    <x v="1393"/>
    <x v="0"/>
    <x v="0"/>
    <x v="2"/>
    <s v="Yes"/>
    <s v="Y"/>
    <n v="3"/>
    <n v="-2"/>
    <n v="0"/>
    <x v="36"/>
    <x v="1"/>
    <m/>
    <n v="0"/>
    <n v="1"/>
    <n v="1382"/>
    <n v="8"/>
    <x v="0"/>
    <n v="1"/>
    <n v="1"/>
    <n v="85"/>
    <n v="3"/>
    <n v="2"/>
    <n v="3"/>
    <n v="4907"/>
    <n v="13684"/>
    <n v="0"/>
    <n v="22"/>
    <n v="4"/>
    <n v="2"/>
    <n v="80"/>
    <n v="1"/>
    <n v="6"/>
    <n v="2"/>
    <n v="5"/>
    <n v="3"/>
    <n v="0"/>
    <n v="4"/>
  </r>
  <r>
    <s v="No"/>
    <s v="Travel_Rarely"/>
    <x v="0"/>
    <s v="Current Employees"/>
    <x v="0"/>
    <x v="3"/>
    <x v="1394"/>
    <x v="1394"/>
    <x v="0"/>
    <x v="6"/>
    <x v="1"/>
    <s v="Yes"/>
    <s v="Y"/>
    <n v="4"/>
    <n v="-2"/>
    <n v="0"/>
    <x v="8"/>
    <x v="1"/>
    <m/>
    <n v="0"/>
    <n v="1"/>
    <n v="723"/>
    <n v="2"/>
    <x v="2"/>
    <n v="1"/>
    <n v="2"/>
    <n v="77"/>
    <n v="1"/>
    <n v="2"/>
    <n v="1"/>
    <n v="5405"/>
    <n v="4244"/>
    <n v="2"/>
    <n v="20"/>
    <n v="4"/>
    <n v="1"/>
    <n v="80"/>
    <n v="2"/>
    <n v="20"/>
    <n v="2"/>
    <n v="4"/>
    <n v="2"/>
    <n v="0"/>
    <n v="3"/>
  </r>
  <r>
    <s v="No"/>
    <s v="Travel_Rarely"/>
    <x v="0"/>
    <s v="Current Employees"/>
    <x v="2"/>
    <x v="2"/>
    <x v="1395"/>
    <x v="1395"/>
    <x v="1"/>
    <x v="5"/>
    <x v="0"/>
    <s v="Yes"/>
    <s v="Y"/>
    <n v="2"/>
    <n v="-2"/>
    <n v="0"/>
    <x v="32"/>
    <x v="1"/>
    <m/>
    <n v="0"/>
    <n v="1"/>
    <n v="898"/>
    <n v="6"/>
    <x v="0"/>
    <n v="1"/>
    <n v="3"/>
    <n v="38"/>
    <n v="3"/>
    <n v="4"/>
    <n v="4"/>
    <n v="16437"/>
    <n v="17381"/>
    <n v="1"/>
    <n v="21"/>
    <n v="4"/>
    <n v="4"/>
    <n v="80"/>
    <n v="0"/>
    <n v="21"/>
    <n v="3"/>
    <n v="21"/>
    <n v="7"/>
    <n v="7"/>
    <n v="7"/>
  </r>
  <r>
    <s v="No"/>
    <s v="Travel_Rarely"/>
    <x v="2"/>
    <s v="Current Employees"/>
    <x v="1"/>
    <x v="0"/>
    <x v="1396"/>
    <x v="1396"/>
    <x v="1"/>
    <x v="3"/>
    <x v="1"/>
    <s v="Yes"/>
    <s v="Y"/>
    <n v="0"/>
    <n v="-2"/>
    <n v="0"/>
    <x v="4"/>
    <x v="1"/>
    <m/>
    <n v="0"/>
    <n v="1"/>
    <n v="155"/>
    <n v="4"/>
    <x v="3"/>
    <n v="1"/>
    <n v="2"/>
    <n v="87"/>
    <n v="4"/>
    <n v="2"/>
    <n v="2"/>
    <n v="6142"/>
    <n v="5174"/>
    <n v="1"/>
    <n v="20"/>
    <n v="4"/>
    <n v="2"/>
    <n v="80"/>
    <n v="1"/>
    <n v="6"/>
    <n v="3"/>
    <n v="6"/>
    <n v="2"/>
    <n v="0"/>
    <n v="3"/>
  </r>
  <r>
    <s v="No"/>
    <s v="Travel_Rarely"/>
    <x v="0"/>
    <s v="Current Employees"/>
    <x v="1"/>
    <x v="2"/>
    <x v="1397"/>
    <x v="1397"/>
    <x v="1"/>
    <x v="1"/>
    <x v="1"/>
    <s v="Yes"/>
    <s v="Y"/>
    <n v="2"/>
    <n v="-2"/>
    <n v="0"/>
    <x v="2"/>
    <x v="1"/>
    <m/>
    <n v="0"/>
    <n v="1"/>
    <n v="783"/>
    <n v="7"/>
    <x v="2"/>
    <n v="1"/>
    <n v="4"/>
    <n v="78"/>
    <n v="3"/>
    <n v="2"/>
    <n v="1"/>
    <n v="4284"/>
    <n v="13588"/>
    <n v="5"/>
    <n v="22"/>
    <n v="4"/>
    <n v="3"/>
    <n v="80"/>
    <n v="1"/>
    <n v="16"/>
    <n v="3"/>
    <n v="5"/>
    <n v="3"/>
    <n v="0"/>
    <n v="4"/>
  </r>
  <r>
    <s v="No"/>
    <s v="Travel_Rarely"/>
    <x v="2"/>
    <s v="Current Employees"/>
    <x v="0"/>
    <x v="4"/>
    <x v="1398"/>
    <x v="1398"/>
    <x v="1"/>
    <x v="6"/>
    <x v="1"/>
    <s v="Yes"/>
    <s v="Y"/>
    <n v="4"/>
    <n v="-2"/>
    <n v="0"/>
    <x v="13"/>
    <x v="1"/>
    <m/>
    <n v="0"/>
    <n v="1"/>
    <n v="1440"/>
    <n v="7"/>
    <x v="0"/>
    <n v="1"/>
    <n v="4"/>
    <n v="55"/>
    <n v="3"/>
    <n v="1"/>
    <n v="4"/>
    <n v="2308"/>
    <n v="4944"/>
    <n v="0"/>
    <n v="25"/>
    <n v="4"/>
    <n v="2"/>
    <n v="80"/>
    <n v="1"/>
    <n v="12"/>
    <n v="3"/>
    <n v="11"/>
    <n v="10"/>
    <n v="5"/>
    <n v="7"/>
  </r>
  <r>
    <s v="No"/>
    <s v="Travel_Rarely"/>
    <x v="0"/>
    <s v="Current Employees"/>
    <x v="0"/>
    <x v="0"/>
    <x v="1399"/>
    <x v="1399"/>
    <x v="1"/>
    <x v="6"/>
    <x v="0"/>
    <s v="Yes"/>
    <s v="Y"/>
    <n v="3"/>
    <n v="-2"/>
    <n v="0"/>
    <x v="9"/>
    <x v="1"/>
    <m/>
    <n v="0"/>
    <n v="1"/>
    <n v="1157"/>
    <n v="2"/>
    <x v="2"/>
    <n v="1"/>
    <n v="3"/>
    <n v="70"/>
    <n v="3"/>
    <n v="1"/>
    <n v="4"/>
    <n v="2644"/>
    <n v="17001"/>
    <n v="3"/>
    <n v="21"/>
    <n v="4"/>
    <n v="4"/>
    <n v="80"/>
    <n v="0"/>
    <n v="7"/>
    <n v="2"/>
    <n v="3"/>
    <n v="2"/>
    <n v="1"/>
    <n v="2"/>
  </r>
  <r>
    <s v="Yes"/>
    <s v="Travel_Frequently"/>
    <x v="2"/>
    <s v="Ex-Employees"/>
    <x v="2"/>
    <x v="5"/>
    <x v="1400"/>
    <x v="1400"/>
    <x v="0"/>
    <x v="8"/>
    <x v="2"/>
    <s v="No"/>
    <s v="Y"/>
    <n v="0"/>
    <n v="-2"/>
    <n v="0"/>
    <x v="7"/>
    <x v="0"/>
    <n v="1"/>
    <n v="1"/>
    <n v="0"/>
    <n v="600"/>
    <n v="8"/>
    <x v="3"/>
    <n v="1"/>
    <n v="3"/>
    <n v="66"/>
    <n v="2"/>
    <n v="1"/>
    <n v="4"/>
    <n v="2180"/>
    <n v="9732"/>
    <n v="6"/>
    <n v="11"/>
    <n v="3"/>
    <n v="3"/>
    <n v="80"/>
    <n v="1"/>
    <n v="6"/>
    <n v="2"/>
    <n v="4"/>
    <n v="2"/>
    <n v="1"/>
    <n v="2"/>
  </r>
  <r>
    <s v="Yes"/>
    <s v="Travel_Frequently"/>
    <x v="2"/>
    <s v="Ex-Employees"/>
    <x v="2"/>
    <x v="5"/>
    <x v="1401"/>
    <x v="1401"/>
    <x v="0"/>
    <x v="8"/>
    <x v="1"/>
    <s v="No"/>
    <s v="Y"/>
    <n v="2"/>
    <n v="-2"/>
    <n v="0"/>
    <x v="4"/>
    <x v="0"/>
    <n v="1"/>
    <n v="1"/>
    <n v="0"/>
    <n v="1337"/>
    <n v="22"/>
    <x v="3"/>
    <n v="1"/>
    <n v="1"/>
    <n v="58"/>
    <n v="2"/>
    <n v="1"/>
    <n v="2"/>
    <n v="2863"/>
    <n v="19555"/>
    <n v="1"/>
    <n v="12"/>
    <n v="3"/>
    <n v="1"/>
    <n v="80"/>
    <n v="0"/>
    <n v="1"/>
    <n v="3"/>
    <n v="1"/>
    <n v="0"/>
    <n v="0"/>
    <n v="0"/>
  </r>
  <r>
    <s v="Yes"/>
    <s v="Travel_Frequently"/>
    <x v="2"/>
    <s v="Ex-Employees"/>
    <x v="1"/>
    <x v="0"/>
    <x v="1402"/>
    <x v="1402"/>
    <x v="0"/>
    <x v="3"/>
    <x v="0"/>
    <s v="No"/>
    <s v="Y"/>
    <n v="2"/>
    <n v="-2"/>
    <n v="0"/>
    <x v="12"/>
    <x v="0"/>
    <n v="1"/>
    <n v="1"/>
    <n v="0"/>
    <n v="1445"/>
    <n v="1"/>
    <x v="4"/>
    <n v="1"/>
    <n v="3"/>
    <n v="100"/>
    <n v="4"/>
    <n v="3"/>
    <n v="2"/>
    <n v="7446"/>
    <n v="8931"/>
    <n v="1"/>
    <n v="11"/>
    <n v="3"/>
    <n v="1"/>
    <n v="80"/>
    <n v="0"/>
    <n v="10"/>
    <n v="3"/>
    <n v="10"/>
    <n v="8"/>
    <n v="4"/>
    <n v="7"/>
  </r>
  <r>
    <s v="Yes"/>
    <s v="Travel_Frequently"/>
    <x v="2"/>
    <s v="Ex-Employees"/>
    <x v="1"/>
    <x v="0"/>
    <x v="1403"/>
    <x v="1403"/>
    <x v="0"/>
    <x v="1"/>
    <x v="0"/>
    <s v="No"/>
    <s v="Y"/>
    <n v="2"/>
    <n v="-2"/>
    <n v="0"/>
    <x v="12"/>
    <x v="0"/>
    <n v="1"/>
    <n v="1"/>
    <n v="0"/>
    <n v="561"/>
    <n v="3"/>
    <x v="3"/>
    <n v="1"/>
    <n v="4"/>
    <n v="33"/>
    <n v="3"/>
    <n v="1"/>
    <n v="3"/>
    <n v="4084"/>
    <n v="4156"/>
    <n v="1"/>
    <n v="12"/>
    <n v="3"/>
    <n v="1"/>
    <n v="80"/>
    <n v="0"/>
    <n v="7"/>
    <n v="1"/>
    <n v="7"/>
    <n v="2"/>
    <n v="7"/>
    <n v="7"/>
  </r>
  <r>
    <s v="Yes"/>
    <s v="Travel_Frequently"/>
    <x v="2"/>
    <s v="Ex-Employees"/>
    <x v="0"/>
    <x v="4"/>
    <x v="1404"/>
    <x v="1404"/>
    <x v="0"/>
    <x v="0"/>
    <x v="0"/>
    <s v="No"/>
    <s v="Y"/>
    <n v="4"/>
    <n v="-2"/>
    <n v="0"/>
    <x v="11"/>
    <x v="0"/>
    <n v="1"/>
    <n v="1"/>
    <n v="0"/>
    <n v="115"/>
    <n v="13"/>
    <x v="3"/>
    <n v="1"/>
    <n v="4"/>
    <n v="51"/>
    <n v="3"/>
    <n v="2"/>
    <n v="4"/>
    <n v="5765"/>
    <n v="17485"/>
    <n v="5"/>
    <n v="11"/>
    <n v="3"/>
    <n v="1"/>
    <n v="80"/>
    <n v="0"/>
    <n v="7"/>
    <n v="1"/>
    <n v="5"/>
    <n v="3"/>
    <n v="0"/>
    <n v="0"/>
  </r>
  <r>
    <s v="Yes"/>
    <s v="Travel_Frequently"/>
    <x v="2"/>
    <s v="Ex-Employees"/>
    <x v="0"/>
    <x v="0"/>
    <x v="1405"/>
    <x v="1405"/>
    <x v="0"/>
    <x v="6"/>
    <x v="0"/>
    <s v="No"/>
    <s v="Y"/>
    <n v="3"/>
    <n v="-2"/>
    <n v="0"/>
    <x v="12"/>
    <x v="0"/>
    <n v="1"/>
    <n v="1"/>
    <n v="0"/>
    <n v="667"/>
    <n v="1"/>
    <x v="2"/>
    <n v="1"/>
    <n v="2"/>
    <n v="50"/>
    <n v="1"/>
    <n v="1"/>
    <n v="3"/>
    <n v="1359"/>
    <n v="16154"/>
    <n v="1"/>
    <n v="12"/>
    <n v="3"/>
    <n v="2"/>
    <n v="80"/>
    <n v="0"/>
    <n v="1"/>
    <n v="3"/>
    <n v="1"/>
    <n v="0"/>
    <n v="0"/>
    <n v="0"/>
  </r>
  <r>
    <s v="Yes"/>
    <s v="Travel_Rarely"/>
    <x v="2"/>
    <s v="Ex-Employees"/>
    <x v="2"/>
    <x v="4"/>
    <x v="1406"/>
    <x v="1406"/>
    <x v="0"/>
    <x v="8"/>
    <x v="1"/>
    <s v="No"/>
    <s v="Y"/>
    <n v="0"/>
    <n v="-2"/>
    <n v="0"/>
    <x v="13"/>
    <x v="0"/>
    <n v="1"/>
    <n v="1"/>
    <n v="0"/>
    <n v="1107"/>
    <n v="9"/>
    <x v="2"/>
    <n v="1"/>
    <n v="4"/>
    <n v="52"/>
    <n v="3"/>
    <n v="1"/>
    <n v="4"/>
    <n v="2742"/>
    <n v="3072"/>
    <n v="1"/>
    <n v="15"/>
    <n v="3"/>
    <n v="4"/>
    <n v="80"/>
    <n v="0"/>
    <n v="2"/>
    <n v="3"/>
    <n v="2"/>
    <n v="2"/>
    <n v="2"/>
    <n v="2"/>
  </r>
  <r>
    <s v="Yes"/>
    <s v="Travel_Rarely"/>
    <x v="1"/>
    <s v="Ex-Employees"/>
    <x v="1"/>
    <x v="4"/>
    <x v="1407"/>
    <x v="1407"/>
    <x v="0"/>
    <x v="3"/>
    <x v="1"/>
    <s v="No"/>
    <s v="Y"/>
    <n v="4"/>
    <n v="-2"/>
    <n v="0"/>
    <x v="16"/>
    <x v="0"/>
    <n v="1"/>
    <n v="1"/>
    <n v="0"/>
    <n v="607"/>
    <n v="2"/>
    <x v="4"/>
    <n v="1"/>
    <n v="3"/>
    <n v="78"/>
    <n v="2"/>
    <n v="3"/>
    <n v="4"/>
    <n v="10169"/>
    <n v="14618"/>
    <n v="0"/>
    <n v="16"/>
    <n v="3"/>
    <n v="2"/>
    <n v="80"/>
    <n v="1"/>
    <n v="34"/>
    <n v="3"/>
    <n v="33"/>
    <n v="7"/>
    <n v="1"/>
    <n v="9"/>
  </r>
  <r>
    <s v="Yes"/>
    <s v="Travel_Rarely"/>
    <x v="2"/>
    <s v="Ex-Employees"/>
    <x v="1"/>
    <x v="0"/>
    <x v="1408"/>
    <x v="1408"/>
    <x v="0"/>
    <x v="1"/>
    <x v="0"/>
    <s v="No"/>
    <s v="Y"/>
    <n v="3"/>
    <n v="-2"/>
    <n v="0"/>
    <x v="12"/>
    <x v="0"/>
    <n v="1"/>
    <n v="1"/>
    <n v="0"/>
    <n v="202"/>
    <n v="8"/>
    <x v="3"/>
    <n v="1"/>
    <n v="1"/>
    <n v="34"/>
    <n v="2"/>
    <n v="1"/>
    <n v="2"/>
    <n v="1261"/>
    <n v="22262"/>
    <n v="1"/>
    <n v="12"/>
    <n v="3"/>
    <n v="3"/>
    <n v="80"/>
    <n v="0"/>
    <n v="1"/>
    <n v="4"/>
    <n v="1"/>
    <n v="0"/>
    <n v="0"/>
    <n v="0"/>
  </r>
  <r>
    <s v="Yes"/>
    <s v="Travel_Rarely"/>
    <x v="2"/>
    <s v="Ex-Employees"/>
    <x v="0"/>
    <x v="3"/>
    <x v="1409"/>
    <x v="1409"/>
    <x v="0"/>
    <x v="6"/>
    <x v="0"/>
    <s v="No"/>
    <s v="Y"/>
    <n v="3"/>
    <n v="-2"/>
    <n v="0"/>
    <x v="11"/>
    <x v="0"/>
    <n v="1"/>
    <n v="1"/>
    <n v="0"/>
    <n v="428"/>
    <n v="9"/>
    <x v="3"/>
    <n v="1"/>
    <n v="2"/>
    <n v="52"/>
    <n v="1"/>
    <n v="1"/>
    <n v="1"/>
    <n v="2760"/>
    <n v="14630"/>
    <n v="1"/>
    <n v="13"/>
    <n v="3"/>
    <n v="3"/>
    <n v="80"/>
    <n v="0"/>
    <n v="2"/>
    <n v="3"/>
    <n v="2"/>
    <n v="2"/>
    <n v="2"/>
    <n v="2"/>
  </r>
  <r>
    <s v="Yes"/>
    <s v="Travel_Frequently"/>
    <x v="2"/>
    <s v="Ex-Employees"/>
    <x v="1"/>
    <x v="0"/>
    <x v="1410"/>
    <x v="1410"/>
    <x v="1"/>
    <x v="2"/>
    <x v="1"/>
    <s v="No"/>
    <s v="Y"/>
    <n v="3"/>
    <n v="-2"/>
    <n v="0"/>
    <x v="13"/>
    <x v="0"/>
    <n v="1"/>
    <n v="1"/>
    <n v="0"/>
    <n v="234"/>
    <n v="9"/>
    <x v="2"/>
    <n v="1"/>
    <n v="4"/>
    <n v="93"/>
    <n v="3"/>
    <n v="2"/>
    <n v="1"/>
    <n v="5346"/>
    <n v="6208"/>
    <n v="4"/>
    <n v="17"/>
    <n v="3"/>
    <n v="3"/>
    <n v="80"/>
    <n v="1"/>
    <n v="11"/>
    <n v="2"/>
    <n v="7"/>
    <n v="1"/>
    <n v="0"/>
    <n v="7"/>
  </r>
  <r>
    <s v="Yes"/>
    <s v="Travel_Frequently"/>
    <x v="2"/>
    <s v="Ex-Employees"/>
    <x v="1"/>
    <x v="2"/>
    <x v="1411"/>
    <x v="1411"/>
    <x v="1"/>
    <x v="2"/>
    <x v="0"/>
    <s v="No"/>
    <s v="Y"/>
    <n v="2"/>
    <n v="-2"/>
    <n v="0"/>
    <x v="14"/>
    <x v="0"/>
    <n v="1"/>
    <n v="1"/>
    <n v="0"/>
    <n v="289"/>
    <n v="2"/>
    <x v="0"/>
    <n v="1"/>
    <n v="3"/>
    <n v="38"/>
    <n v="2"/>
    <n v="1"/>
    <n v="1"/>
    <n v="2561"/>
    <n v="5355"/>
    <n v="7"/>
    <n v="11"/>
    <n v="3"/>
    <n v="3"/>
    <n v="80"/>
    <n v="0"/>
    <n v="8"/>
    <n v="2"/>
    <n v="0"/>
    <n v="0"/>
    <n v="0"/>
    <n v="0"/>
  </r>
  <r>
    <s v="Yes"/>
    <s v="Travel_Frequently"/>
    <x v="1"/>
    <s v="Ex-Employees"/>
    <x v="0"/>
    <x v="0"/>
    <x v="1412"/>
    <x v="1412"/>
    <x v="1"/>
    <x v="0"/>
    <x v="2"/>
    <s v="No"/>
    <s v="Y"/>
    <n v="3"/>
    <n v="-2"/>
    <n v="0"/>
    <x v="24"/>
    <x v="0"/>
    <n v="1"/>
    <n v="1"/>
    <n v="0"/>
    <n v="878"/>
    <n v="1"/>
    <x v="2"/>
    <n v="1"/>
    <n v="2"/>
    <n v="94"/>
    <n v="3"/>
    <n v="2"/>
    <n v="3"/>
    <n v="6728"/>
    <n v="14255"/>
    <n v="7"/>
    <n v="12"/>
    <n v="3"/>
    <n v="4"/>
    <n v="80"/>
    <n v="2"/>
    <n v="12"/>
    <n v="3"/>
    <n v="6"/>
    <n v="3"/>
    <n v="0"/>
    <n v="1"/>
  </r>
  <r>
    <s v="Yes"/>
    <s v="Travel_Frequently"/>
    <x v="1"/>
    <s v="Ex-Employees"/>
    <x v="0"/>
    <x v="0"/>
    <x v="1413"/>
    <x v="1413"/>
    <x v="1"/>
    <x v="0"/>
    <x v="1"/>
    <s v="No"/>
    <s v="Y"/>
    <n v="3"/>
    <n v="-2"/>
    <n v="0"/>
    <x v="40"/>
    <x v="0"/>
    <n v="1"/>
    <n v="1"/>
    <n v="0"/>
    <n v="1093"/>
    <n v="9"/>
    <x v="3"/>
    <n v="1"/>
    <n v="3"/>
    <n v="82"/>
    <n v="1"/>
    <n v="4"/>
    <n v="3"/>
    <n v="12936"/>
    <n v="24164"/>
    <n v="7"/>
    <n v="11"/>
    <n v="3"/>
    <n v="3"/>
    <n v="80"/>
    <n v="0"/>
    <n v="25"/>
    <n v="1"/>
    <n v="23"/>
    <n v="5"/>
    <n v="14"/>
    <n v="10"/>
  </r>
  <r>
    <s v="Yes"/>
    <s v="Travel_Frequently"/>
    <x v="2"/>
    <s v="Ex-Employees"/>
    <x v="0"/>
    <x v="4"/>
    <x v="1414"/>
    <x v="1414"/>
    <x v="1"/>
    <x v="6"/>
    <x v="1"/>
    <s v="No"/>
    <s v="Y"/>
    <n v="3"/>
    <n v="-2"/>
    <n v="0"/>
    <x v="14"/>
    <x v="0"/>
    <n v="1"/>
    <n v="1"/>
    <n v="0"/>
    <n v="1496"/>
    <n v="1"/>
    <x v="3"/>
    <n v="1"/>
    <n v="1"/>
    <n v="92"/>
    <n v="3"/>
    <n v="1"/>
    <n v="4"/>
    <n v="2909"/>
    <n v="15747"/>
    <n v="3"/>
    <n v="15"/>
    <n v="3"/>
    <n v="4"/>
    <n v="80"/>
    <n v="1"/>
    <n v="5"/>
    <n v="4"/>
    <n v="3"/>
    <n v="2"/>
    <n v="1"/>
    <n v="2"/>
  </r>
  <r>
    <s v="Yes"/>
    <s v="Travel_Frequently"/>
    <x v="4"/>
    <s v="Ex-Employees"/>
    <x v="0"/>
    <x v="3"/>
    <x v="1415"/>
    <x v="1415"/>
    <x v="1"/>
    <x v="6"/>
    <x v="1"/>
    <s v="No"/>
    <s v="Y"/>
    <n v="3"/>
    <n v="-2"/>
    <n v="0"/>
    <x v="30"/>
    <x v="0"/>
    <n v="1"/>
    <n v="1"/>
    <n v="0"/>
    <n v="638"/>
    <n v="9"/>
    <x v="3"/>
    <n v="1"/>
    <n v="4"/>
    <n v="33"/>
    <n v="3"/>
    <n v="1"/>
    <n v="1"/>
    <n v="1790"/>
    <n v="26956"/>
    <n v="1"/>
    <n v="19"/>
    <n v="3"/>
    <n v="1"/>
    <n v="80"/>
    <n v="1"/>
    <n v="1"/>
    <n v="2"/>
    <n v="1"/>
    <n v="0"/>
    <n v="1"/>
    <n v="0"/>
  </r>
  <r>
    <s v="Yes"/>
    <s v="Travel_Frequently"/>
    <x v="2"/>
    <s v="Ex-Employees"/>
    <x v="0"/>
    <x v="4"/>
    <x v="1416"/>
    <x v="1416"/>
    <x v="1"/>
    <x v="6"/>
    <x v="0"/>
    <s v="No"/>
    <s v="Y"/>
    <n v="3"/>
    <n v="-2"/>
    <n v="0"/>
    <x v="11"/>
    <x v="0"/>
    <n v="1"/>
    <n v="1"/>
    <n v="0"/>
    <n v="746"/>
    <n v="24"/>
    <x v="3"/>
    <n v="1"/>
    <n v="3"/>
    <n v="45"/>
    <n v="4"/>
    <n v="1"/>
    <n v="4"/>
    <n v="1091"/>
    <n v="10642"/>
    <n v="1"/>
    <n v="17"/>
    <n v="3"/>
    <n v="4"/>
    <n v="80"/>
    <n v="0"/>
    <n v="1"/>
    <n v="3"/>
    <n v="1"/>
    <n v="0"/>
    <n v="0"/>
    <n v="0"/>
  </r>
  <r>
    <s v="Yes"/>
    <s v="Travel_Rarely"/>
    <x v="2"/>
    <s v="Ex-Employees"/>
    <x v="2"/>
    <x v="5"/>
    <x v="1417"/>
    <x v="1417"/>
    <x v="1"/>
    <x v="8"/>
    <x v="1"/>
    <s v="No"/>
    <s v="Y"/>
    <n v="4"/>
    <n v="-2"/>
    <n v="0"/>
    <x v="12"/>
    <x v="0"/>
    <n v="1"/>
    <n v="1"/>
    <n v="0"/>
    <n v="359"/>
    <n v="18"/>
    <x v="4"/>
    <n v="1"/>
    <n v="4"/>
    <n v="89"/>
    <n v="4"/>
    <n v="1"/>
    <n v="1"/>
    <n v="2956"/>
    <n v="21495"/>
    <n v="0"/>
    <n v="17"/>
    <n v="3"/>
    <n v="3"/>
    <n v="80"/>
    <n v="0"/>
    <n v="2"/>
    <n v="3"/>
    <n v="1"/>
    <n v="0"/>
    <n v="0"/>
    <n v="0"/>
  </r>
  <r>
    <s v="Yes"/>
    <s v="Travel_Rarely"/>
    <x v="4"/>
    <s v="Ex-Employees"/>
    <x v="2"/>
    <x v="5"/>
    <x v="1418"/>
    <x v="1418"/>
    <x v="1"/>
    <x v="8"/>
    <x v="1"/>
    <s v="No"/>
    <s v="Y"/>
    <n v="2"/>
    <n v="-2"/>
    <n v="0"/>
    <x v="17"/>
    <x v="0"/>
    <n v="1"/>
    <n v="1"/>
    <n v="0"/>
    <n v="240"/>
    <n v="22"/>
    <x v="1"/>
    <n v="1"/>
    <n v="4"/>
    <n v="58"/>
    <n v="1"/>
    <n v="1"/>
    <n v="3"/>
    <n v="1555"/>
    <n v="11585"/>
    <n v="1"/>
    <n v="11"/>
    <n v="3"/>
    <n v="3"/>
    <n v="80"/>
    <n v="1"/>
    <n v="1"/>
    <n v="3"/>
    <n v="1"/>
    <n v="0"/>
    <n v="0"/>
    <n v="0"/>
  </r>
  <r>
    <s v="Yes"/>
    <s v="Travel_Rarely"/>
    <x v="2"/>
    <s v="Ex-Employees"/>
    <x v="1"/>
    <x v="4"/>
    <x v="1419"/>
    <x v="1419"/>
    <x v="1"/>
    <x v="2"/>
    <x v="2"/>
    <s v="No"/>
    <s v="Y"/>
    <n v="2"/>
    <n v="-2"/>
    <n v="0"/>
    <x v="14"/>
    <x v="0"/>
    <n v="1"/>
    <n v="1"/>
    <n v="0"/>
    <n v="1404"/>
    <n v="17"/>
    <x v="3"/>
    <n v="1"/>
    <n v="3"/>
    <n v="32"/>
    <n v="2"/>
    <n v="1"/>
    <n v="4"/>
    <n v="2367"/>
    <n v="18779"/>
    <n v="5"/>
    <n v="12"/>
    <n v="3"/>
    <n v="1"/>
    <n v="80"/>
    <n v="1"/>
    <n v="6"/>
    <n v="2"/>
    <n v="4"/>
    <n v="1"/>
    <n v="0"/>
    <n v="3"/>
  </r>
  <r>
    <s v="Yes"/>
    <s v="Travel_Rarely"/>
    <x v="3"/>
    <s v="Ex-Employees"/>
    <x v="1"/>
    <x v="4"/>
    <x v="1420"/>
    <x v="1420"/>
    <x v="1"/>
    <x v="2"/>
    <x v="1"/>
    <s v="No"/>
    <s v="Y"/>
    <n v="4"/>
    <n v="-2"/>
    <n v="0"/>
    <x v="29"/>
    <x v="0"/>
    <n v="1"/>
    <n v="1"/>
    <n v="0"/>
    <n v="310"/>
    <n v="7"/>
    <x v="0"/>
    <n v="1"/>
    <n v="4"/>
    <n v="72"/>
    <n v="3"/>
    <n v="1"/>
    <n v="4"/>
    <n v="2339"/>
    <n v="3666"/>
    <n v="8"/>
    <n v="11"/>
    <n v="3"/>
    <n v="4"/>
    <n v="80"/>
    <n v="1"/>
    <n v="14"/>
    <n v="1"/>
    <n v="10"/>
    <n v="9"/>
    <n v="9"/>
    <n v="8"/>
  </r>
  <r>
    <s v="Yes"/>
    <s v="Travel_Rarely"/>
    <x v="0"/>
    <s v="Ex-Employees"/>
    <x v="1"/>
    <x v="2"/>
    <x v="1421"/>
    <x v="1421"/>
    <x v="1"/>
    <x v="3"/>
    <x v="1"/>
    <s v="No"/>
    <s v="Y"/>
    <n v="2"/>
    <n v="-2"/>
    <n v="0"/>
    <x v="8"/>
    <x v="0"/>
    <n v="1"/>
    <n v="1"/>
    <n v="0"/>
    <n v="903"/>
    <n v="2"/>
    <x v="3"/>
    <n v="1"/>
    <n v="3"/>
    <n v="81"/>
    <n v="3"/>
    <n v="2"/>
    <n v="2"/>
    <n v="4855"/>
    <n v="7653"/>
    <n v="4"/>
    <n v="11"/>
    <n v="3"/>
    <n v="1"/>
    <n v="80"/>
    <n v="2"/>
    <n v="7"/>
    <n v="3"/>
    <n v="5"/>
    <n v="2"/>
    <n v="1"/>
    <n v="4"/>
  </r>
  <r>
    <s v="Yes"/>
    <s v="Travel_Rarely"/>
    <x v="2"/>
    <s v="Ex-Employees"/>
    <x v="1"/>
    <x v="4"/>
    <x v="1422"/>
    <x v="1422"/>
    <x v="1"/>
    <x v="1"/>
    <x v="0"/>
    <s v="No"/>
    <s v="Y"/>
    <n v="2"/>
    <n v="-2"/>
    <n v="0"/>
    <x v="11"/>
    <x v="0"/>
    <n v="1"/>
    <n v="1"/>
    <n v="0"/>
    <n v="224"/>
    <n v="1"/>
    <x v="2"/>
    <n v="1"/>
    <n v="1"/>
    <n v="100"/>
    <n v="2"/>
    <n v="1"/>
    <n v="1"/>
    <n v="2362"/>
    <n v="7568"/>
    <n v="6"/>
    <n v="13"/>
    <n v="3"/>
    <n v="3"/>
    <n v="80"/>
    <n v="0"/>
    <n v="11"/>
    <n v="1"/>
    <n v="9"/>
    <n v="7"/>
    <n v="0"/>
    <n v="7"/>
  </r>
  <r>
    <s v="Yes"/>
    <s v="Travel_Rarely"/>
    <x v="3"/>
    <s v="Ex-Employees"/>
    <x v="1"/>
    <x v="0"/>
    <x v="1423"/>
    <x v="1423"/>
    <x v="1"/>
    <x v="2"/>
    <x v="0"/>
    <s v="No"/>
    <s v="Y"/>
    <n v="3"/>
    <n v="-2"/>
    <n v="0"/>
    <x v="29"/>
    <x v="0"/>
    <n v="1"/>
    <n v="1"/>
    <n v="0"/>
    <n v="1162"/>
    <n v="24"/>
    <x v="0"/>
    <n v="1"/>
    <n v="1"/>
    <n v="97"/>
    <n v="3"/>
    <n v="1"/>
    <n v="4"/>
    <n v="2587"/>
    <n v="10261"/>
    <n v="1"/>
    <n v="16"/>
    <n v="3"/>
    <n v="4"/>
    <n v="80"/>
    <n v="0"/>
    <n v="5"/>
    <n v="3"/>
    <n v="4"/>
    <n v="2"/>
    <n v="1"/>
    <n v="0"/>
  </r>
  <r>
    <s v="Yes"/>
    <s v="Travel_Rarely"/>
    <x v="0"/>
    <s v="Ex-Employees"/>
    <x v="1"/>
    <x v="0"/>
    <x v="1424"/>
    <x v="1424"/>
    <x v="1"/>
    <x v="2"/>
    <x v="0"/>
    <s v="No"/>
    <s v="Y"/>
    <n v="3"/>
    <n v="-2"/>
    <n v="0"/>
    <x v="32"/>
    <x v="0"/>
    <n v="1"/>
    <n v="1"/>
    <n v="0"/>
    <n v="676"/>
    <n v="9"/>
    <x v="2"/>
    <n v="1"/>
    <n v="4"/>
    <n v="86"/>
    <n v="3"/>
    <n v="1"/>
    <n v="1"/>
    <n v="2018"/>
    <n v="21831"/>
    <n v="3"/>
    <n v="14"/>
    <n v="3"/>
    <n v="2"/>
    <n v="80"/>
    <n v="0"/>
    <n v="15"/>
    <n v="1"/>
    <n v="5"/>
    <n v="4"/>
    <n v="1"/>
    <n v="0"/>
  </r>
  <r>
    <s v="Yes"/>
    <s v="Travel_Rarely"/>
    <x v="0"/>
    <s v="Ex-Employees"/>
    <x v="1"/>
    <x v="2"/>
    <x v="1425"/>
    <x v="1425"/>
    <x v="1"/>
    <x v="3"/>
    <x v="0"/>
    <s v="No"/>
    <s v="Y"/>
    <n v="4"/>
    <n v="-2"/>
    <n v="0"/>
    <x v="2"/>
    <x v="0"/>
    <n v="1"/>
    <n v="1"/>
    <n v="0"/>
    <n v="370"/>
    <n v="10"/>
    <x v="2"/>
    <n v="1"/>
    <n v="4"/>
    <n v="58"/>
    <n v="3"/>
    <n v="2"/>
    <n v="1"/>
    <n v="4213"/>
    <n v="4992"/>
    <n v="1"/>
    <n v="15"/>
    <n v="3"/>
    <n v="2"/>
    <n v="80"/>
    <n v="0"/>
    <n v="10"/>
    <n v="1"/>
    <n v="10"/>
    <n v="3"/>
    <n v="0"/>
    <n v="8"/>
  </r>
  <r>
    <s v="Yes"/>
    <s v="Travel_Rarely"/>
    <x v="2"/>
    <s v="Ex-Employees"/>
    <x v="1"/>
    <x v="0"/>
    <x v="1426"/>
    <x v="1426"/>
    <x v="1"/>
    <x v="2"/>
    <x v="0"/>
    <s v="No"/>
    <s v="Y"/>
    <n v="2"/>
    <n v="-2"/>
    <n v="0"/>
    <x v="5"/>
    <x v="0"/>
    <n v="1"/>
    <n v="1"/>
    <n v="0"/>
    <n v="1259"/>
    <n v="2"/>
    <x v="2"/>
    <n v="1"/>
    <n v="4"/>
    <n v="95"/>
    <n v="3"/>
    <n v="1"/>
    <n v="2"/>
    <n v="1393"/>
    <n v="24852"/>
    <n v="1"/>
    <n v="12"/>
    <n v="3"/>
    <n v="1"/>
    <n v="80"/>
    <n v="0"/>
    <n v="1"/>
    <n v="3"/>
    <n v="1"/>
    <n v="0"/>
    <n v="0"/>
    <n v="0"/>
  </r>
  <r>
    <s v="Yes"/>
    <s v="Travel_Rarely"/>
    <x v="1"/>
    <s v="Ex-Employees"/>
    <x v="0"/>
    <x v="3"/>
    <x v="1427"/>
    <x v="1427"/>
    <x v="1"/>
    <x v="0"/>
    <x v="2"/>
    <s v="No"/>
    <s v="Y"/>
    <n v="1"/>
    <n v="-2"/>
    <n v="0"/>
    <x v="21"/>
    <x v="0"/>
    <n v="1"/>
    <n v="1"/>
    <n v="0"/>
    <n v="377"/>
    <n v="9"/>
    <x v="3"/>
    <n v="1"/>
    <n v="1"/>
    <n v="52"/>
    <n v="3"/>
    <n v="3"/>
    <n v="1"/>
    <n v="10096"/>
    <n v="15986"/>
    <n v="4"/>
    <n v="11"/>
    <n v="3"/>
    <n v="1"/>
    <n v="80"/>
    <n v="1"/>
    <n v="28"/>
    <n v="4"/>
    <n v="7"/>
    <n v="7"/>
    <n v="4"/>
    <n v="3"/>
  </r>
  <r>
    <s v="Yes"/>
    <s v="Travel_Rarely"/>
    <x v="2"/>
    <s v="Ex-Employees"/>
    <x v="0"/>
    <x v="0"/>
    <x v="1428"/>
    <x v="1428"/>
    <x v="1"/>
    <x v="6"/>
    <x v="1"/>
    <s v="No"/>
    <s v="Y"/>
    <n v="2"/>
    <n v="-2"/>
    <n v="0"/>
    <x v="36"/>
    <x v="0"/>
    <n v="1"/>
    <n v="1"/>
    <n v="0"/>
    <n v="383"/>
    <n v="9"/>
    <x v="0"/>
    <n v="1"/>
    <n v="1"/>
    <n v="68"/>
    <n v="2"/>
    <n v="1"/>
    <n v="1"/>
    <n v="4400"/>
    <n v="15182"/>
    <n v="3"/>
    <n v="12"/>
    <n v="3"/>
    <n v="1"/>
    <n v="80"/>
    <n v="0"/>
    <n v="6"/>
    <n v="3"/>
    <n v="3"/>
    <n v="2"/>
    <n v="2"/>
    <n v="2"/>
  </r>
  <r>
    <s v="Yes"/>
    <s v="Travel_Rarely"/>
    <x v="0"/>
    <s v="Ex-Employees"/>
    <x v="0"/>
    <x v="2"/>
    <x v="1429"/>
    <x v="1429"/>
    <x v="1"/>
    <x v="0"/>
    <x v="1"/>
    <s v="No"/>
    <s v="Y"/>
    <n v="3"/>
    <n v="-2"/>
    <n v="0"/>
    <x v="10"/>
    <x v="0"/>
    <n v="1"/>
    <n v="1"/>
    <n v="0"/>
    <n v="737"/>
    <n v="10"/>
    <x v="3"/>
    <n v="1"/>
    <n v="4"/>
    <n v="55"/>
    <n v="2"/>
    <n v="3"/>
    <n v="1"/>
    <n v="10306"/>
    <n v="21530"/>
    <n v="9"/>
    <n v="17"/>
    <n v="3"/>
    <n v="3"/>
    <n v="80"/>
    <n v="0"/>
    <n v="15"/>
    <n v="3"/>
    <n v="13"/>
    <n v="12"/>
    <n v="6"/>
    <n v="0"/>
  </r>
  <r>
    <s v="Yes"/>
    <s v="Travel_Rarely"/>
    <x v="2"/>
    <s v="Ex-Employees"/>
    <x v="0"/>
    <x v="0"/>
    <x v="1430"/>
    <x v="1430"/>
    <x v="1"/>
    <x v="0"/>
    <x v="1"/>
    <s v="No"/>
    <s v="Y"/>
    <n v="4"/>
    <n v="-2"/>
    <n v="0"/>
    <x v="7"/>
    <x v="0"/>
    <n v="1"/>
    <n v="1"/>
    <n v="0"/>
    <n v="740"/>
    <n v="1"/>
    <x v="3"/>
    <n v="1"/>
    <n v="2"/>
    <n v="64"/>
    <n v="2"/>
    <n v="2"/>
    <n v="1"/>
    <n v="9714"/>
    <n v="5323"/>
    <n v="1"/>
    <n v="11"/>
    <n v="3"/>
    <n v="4"/>
    <n v="80"/>
    <n v="1"/>
    <n v="10"/>
    <n v="3"/>
    <n v="10"/>
    <n v="8"/>
    <n v="6"/>
    <n v="7"/>
  </r>
  <r>
    <s v="Yes"/>
    <s v="Travel_Rarely"/>
    <x v="2"/>
    <s v="Ex-Employees"/>
    <x v="0"/>
    <x v="3"/>
    <x v="1431"/>
    <x v="1431"/>
    <x v="1"/>
    <x v="0"/>
    <x v="1"/>
    <s v="No"/>
    <s v="Y"/>
    <n v="2"/>
    <n v="-2"/>
    <n v="0"/>
    <x v="12"/>
    <x v="0"/>
    <n v="1"/>
    <n v="1"/>
    <n v="0"/>
    <n v="1079"/>
    <n v="16"/>
    <x v="2"/>
    <n v="1"/>
    <n v="1"/>
    <n v="70"/>
    <n v="3"/>
    <n v="3"/>
    <n v="1"/>
    <n v="8161"/>
    <n v="19002"/>
    <n v="2"/>
    <n v="13"/>
    <n v="3"/>
    <n v="1"/>
    <n v="80"/>
    <n v="3"/>
    <n v="10"/>
    <n v="3"/>
    <n v="1"/>
    <n v="0"/>
    <n v="0"/>
    <n v="0"/>
  </r>
  <r>
    <s v="Yes"/>
    <s v="Travel_Rarely"/>
    <x v="2"/>
    <s v="Ex-Employees"/>
    <x v="0"/>
    <x v="0"/>
    <x v="1432"/>
    <x v="1432"/>
    <x v="1"/>
    <x v="0"/>
    <x v="0"/>
    <s v="No"/>
    <s v="Y"/>
    <n v="2"/>
    <n v="-2"/>
    <n v="0"/>
    <x v="5"/>
    <x v="0"/>
    <n v="1"/>
    <n v="1"/>
    <n v="0"/>
    <n v="964"/>
    <n v="1"/>
    <x v="0"/>
    <n v="1"/>
    <n v="1"/>
    <n v="34"/>
    <n v="1"/>
    <n v="2"/>
    <n v="2"/>
    <n v="6735"/>
    <n v="12147"/>
    <n v="6"/>
    <n v="15"/>
    <n v="3"/>
    <n v="2"/>
    <n v="80"/>
    <n v="0"/>
    <n v="10"/>
    <n v="3"/>
    <n v="0"/>
    <n v="0"/>
    <n v="0"/>
    <n v="0"/>
  </r>
  <r>
    <s v="Yes"/>
    <s v="Travel_Rarely"/>
    <x v="4"/>
    <s v="Ex-Employees"/>
    <x v="0"/>
    <x v="3"/>
    <x v="1433"/>
    <x v="1433"/>
    <x v="1"/>
    <x v="6"/>
    <x v="0"/>
    <s v="No"/>
    <s v="Y"/>
    <n v="3"/>
    <n v="-2"/>
    <n v="0"/>
    <x v="18"/>
    <x v="0"/>
    <n v="1"/>
    <n v="1"/>
    <n v="0"/>
    <n v="337"/>
    <n v="7"/>
    <x v="1"/>
    <n v="1"/>
    <n v="2"/>
    <n v="31"/>
    <n v="3"/>
    <n v="1"/>
    <n v="1"/>
    <n v="2679"/>
    <n v="4567"/>
    <n v="1"/>
    <n v="13"/>
    <n v="3"/>
    <n v="2"/>
    <n v="80"/>
    <n v="0"/>
    <n v="1"/>
    <n v="3"/>
    <n v="1"/>
    <n v="0"/>
    <n v="1"/>
    <n v="0"/>
  </r>
  <r>
    <s v="Yes"/>
    <s v="Travel_Rarely"/>
    <x v="2"/>
    <s v="Ex-Employees"/>
    <x v="0"/>
    <x v="2"/>
    <x v="1434"/>
    <x v="1434"/>
    <x v="1"/>
    <x v="6"/>
    <x v="0"/>
    <s v="No"/>
    <s v="Y"/>
    <n v="3"/>
    <n v="-2"/>
    <n v="0"/>
    <x v="7"/>
    <x v="0"/>
    <n v="1"/>
    <n v="1"/>
    <n v="0"/>
    <n v="945"/>
    <n v="9"/>
    <x v="3"/>
    <n v="1"/>
    <n v="2"/>
    <n v="89"/>
    <n v="3"/>
    <n v="1"/>
    <n v="4"/>
    <n v="1081"/>
    <n v="16019"/>
    <n v="1"/>
    <n v="13"/>
    <n v="3"/>
    <n v="3"/>
    <n v="80"/>
    <n v="0"/>
    <n v="1"/>
    <n v="2"/>
    <n v="1"/>
    <n v="0"/>
    <n v="0"/>
    <n v="0"/>
  </r>
  <r>
    <s v="Yes"/>
    <s v="Travel_Frequently"/>
    <x v="2"/>
    <s v="Ex-Employees"/>
    <x v="1"/>
    <x v="0"/>
    <x v="1435"/>
    <x v="1435"/>
    <x v="0"/>
    <x v="1"/>
    <x v="0"/>
    <s v="Yes"/>
    <s v="Y"/>
    <n v="2"/>
    <n v="-2"/>
    <n v="0"/>
    <x v="5"/>
    <x v="0"/>
    <n v="1"/>
    <n v="1"/>
    <n v="0"/>
    <n v="238"/>
    <n v="5"/>
    <x v="0"/>
    <n v="1"/>
    <n v="1"/>
    <n v="47"/>
    <n v="4"/>
    <n v="1"/>
    <n v="3"/>
    <n v="2432"/>
    <n v="15318"/>
    <n v="3"/>
    <n v="14"/>
    <n v="3"/>
    <n v="1"/>
    <n v="80"/>
    <n v="0"/>
    <n v="8"/>
    <n v="3"/>
    <n v="4"/>
    <n v="1"/>
    <n v="0"/>
    <n v="3"/>
  </r>
  <r>
    <s v="Yes"/>
    <s v="Travel_Frequently"/>
    <x v="2"/>
    <s v="Ex-Employees"/>
    <x v="1"/>
    <x v="1"/>
    <x v="1436"/>
    <x v="1436"/>
    <x v="0"/>
    <x v="4"/>
    <x v="0"/>
    <s v="Yes"/>
    <s v="Y"/>
    <n v="1"/>
    <n v="-2"/>
    <n v="0"/>
    <x v="11"/>
    <x v="0"/>
    <n v="1"/>
    <n v="1"/>
    <n v="0"/>
    <n v="337"/>
    <n v="14"/>
    <x v="1"/>
    <n v="1"/>
    <n v="3"/>
    <n v="84"/>
    <n v="3"/>
    <n v="3"/>
    <n v="4"/>
    <n v="7553"/>
    <n v="22930"/>
    <n v="0"/>
    <n v="12"/>
    <n v="3"/>
    <n v="1"/>
    <n v="80"/>
    <n v="0"/>
    <n v="9"/>
    <n v="3"/>
    <n v="8"/>
    <n v="7"/>
    <n v="7"/>
    <n v="7"/>
  </r>
  <r>
    <s v="Yes"/>
    <s v="Travel_Frequently"/>
    <x v="1"/>
    <s v="Ex-Employees"/>
    <x v="0"/>
    <x v="2"/>
    <x v="1437"/>
    <x v="1437"/>
    <x v="0"/>
    <x v="6"/>
    <x v="1"/>
    <s v="Yes"/>
    <s v="Y"/>
    <n v="3"/>
    <n v="-2"/>
    <n v="0"/>
    <x v="26"/>
    <x v="0"/>
    <n v="1"/>
    <n v="1"/>
    <n v="0"/>
    <n v="708"/>
    <n v="7"/>
    <x v="0"/>
    <n v="1"/>
    <n v="4"/>
    <n v="95"/>
    <n v="3"/>
    <n v="1"/>
    <n v="3"/>
    <n v="2655"/>
    <n v="11740"/>
    <n v="2"/>
    <n v="11"/>
    <n v="3"/>
    <n v="3"/>
    <n v="80"/>
    <n v="2"/>
    <n v="19"/>
    <n v="3"/>
    <n v="9"/>
    <n v="7"/>
    <n v="7"/>
    <n v="7"/>
  </r>
  <r>
    <s v="Yes"/>
    <s v="Travel_Frequently"/>
    <x v="4"/>
    <s v="Ex-Employees"/>
    <x v="0"/>
    <x v="2"/>
    <x v="1438"/>
    <x v="1438"/>
    <x v="0"/>
    <x v="6"/>
    <x v="0"/>
    <s v="Yes"/>
    <s v="Y"/>
    <n v="2"/>
    <n v="-2"/>
    <n v="0"/>
    <x v="41"/>
    <x v="0"/>
    <n v="1"/>
    <n v="1"/>
    <n v="0"/>
    <n v="544"/>
    <n v="3"/>
    <x v="0"/>
    <n v="1"/>
    <n v="2"/>
    <n v="70"/>
    <n v="3"/>
    <n v="1"/>
    <n v="4"/>
    <n v="1569"/>
    <n v="18420"/>
    <n v="1"/>
    <n v="12"/>
    <n v="3"/>
    <n v="3"/>
    <n v="80"/>
    <n v="0"/>
    <n v="0"/>
    <n v="4"/>
    <n v="0"/>
    <n v="0"/>
    <n v="0"/>
    <n v="0"/>
  </r>
  <r>
    <s v="Yes"/>
    <s v="Travel_Rarely"/>
    <x v="2"/>
    <s v="Ex-Employees"/>
    <x v="2"/>
    <x v="2"/>
    <x v="1439"/>
    <x v="1439"/>
    <x v="0"/>
    <x v="8"/>
    <x v="1"/>
    <s v="Yes"/>
    <s v="Y"/>
    <n v="3"/>
    <n v="-2"/>
    <n v="0"/>
    <x v="25"/>
    <x v="0"/>
    <n v="1"/>
    <n v="1"/>
    <n v="0"/>
    <n v="920"/>
    <n v="20"/>
    <x v="0"/>
    <n v="1"/>
    <n v="4"/>
    <n v="69"/>
    <n v="3"/>
    <n v="1"/>
    <n v="2"/>
    <n v="2148"/>
    <n v="6889"/>
    <n v="0"/>
    <n v="11"/>
    <n v="3"/>
    <n v="3"/>
    <n v="80"/>
    <n v="0"/>
    <n v="6"/>
    <n v="3"/>
    <n v="5"/>
    <n v="1"/>
    <n v="1"/>
    <n v="4"/>
  </r>
  <r>
    <s v="Yes"/>
    <s v="Travel_Rarely"/>
    <x v="0"/>
    <s v="Ex-Employees"/>
    <x v="1"/>
    <x v="0"/>
    <x v="1440"/>
    <x v="1440"/>
    <x v="0"/>
    <x v="2"/>
    <x v="2"/>
    <s v="Yes"/>
    <s v="Y"/>
    <n v="2"/>
    <n v="-2"/>
    <n v="0"/>
    <x v="10"/>
    <x v="0"/>
    <n v="1"/>
    <n v="1"/>
    <n v="0"/>
    <n v="104"/>
    <n v="2"/>
    <x v="3"/>
    <n v="1"/>
    <n v="1"/>
    <n v="69"/>
    <n v="3"/>
    <n v="1"/>
    <n v="1"/>
    <n v="2074"/>
    <n v="26619"/>
    <n v="1"/>
    <n v="12"/>
    <n v="3"/>
    <n v="4"/>
    <n v="80"/>
    <n v="1"/>
    <n v="1"/>
    <n v="3"/>
    <n v="1"/>
    <n v="0"/>
    <n v="0"/>
    <n v="0"/>
  </r>
  <r>
    <s v="Yes"/>
    <s v="Travel_Rarely"/>
    <x v="4"/>
    <s v="Ex-Employees"/>
    <x v="1"/>
    <x v="2"/>
    <x v="1441"/>
    <x v="1441"/>
    <x v="0"/>
    <x v="2"/>
    <x v="1"/>
    <s v="Yes"/>
    <s v="Y"/>
    <n v="6"/>
    <n v="-2"/>
    <n v="0"/>
    <x v="15"/>
    <x v="0"/>
    <n v="1"/>
    <n v="1"/>
    <n v="0"/>
    <n v="1294"/>
    <n v="8"/>
    <x v="1"/>
    <n v="1"/>
    <n v="3"/>
    <n v="79"/>
    <n v="3"/>
    <n v="1"/>
    <n v="1"/>
    <n v="2398"/>
    <n v="15999"/>
    <n v="1"/>
    <n v="17"/>
    <n v="3"/>
    <n v="3"/>
    <n v="80"/>
    <n v="0"/>
    <n v="1"/>
    <n v="3"/>
    <n v="1"/>
    <n v="0"/>
    <n v="0"/>
    <n v="0"/>
  </r>
  <r>
    <s v="Yes"/>
    <s v="Travel_Rarely"/>
    <x v="2"/>
    <s v="Ex-Employees"/>
    <x v="0"/>
    <x v="3"/>
    <x v="1442"/>
    <x v="1442"/>
    <x v="0"/>
    <x v="0"/>
    <x v="0"/>
    <s v="Yes"/>
    <s v="Y"/>
    <n v="0"/>
    <n v="-2"/>
    <n v="0"/>
    <x v="14"/>
    <x v="0"/>
    <n v="1"/>
    <n v="1"/>
    <n v="0"/>
    <n v="1475"/>
    <n v="13"/>
    <x v="0"/>
    <n v="1"/>
    <n v="4"/>
    <n v="84"/>
    <n v="3"/>
    <n v="2"/>
    <n v="1"/>
    <n v="9854"/>
    <n v="23352"/>
    <n v="3"/>
    <n v="11"/>
    <n v="3"/>
    <n v="4"/>
    <n v="80"/>
    <n v="0"/>
    <n v="6"/>
    <n v="3"/>
    <n v="2"/>
    <n v="0"/>
    <n v="2"/>
    <n v="2"/>
  </r>
  <r>
    <s v="Yes"/>
    <s v="Travel_Frequently"/>
    <x v="0"/>
    <s v="Ex-Employees"/>
    <x v="1"/>
    <x v="2"/>
    <x v="1443"/>
    <x v="1443"/>
    <x v="1"/>
    <x v="1"/>
    <x v="2"/>
    <s v="Yes"/>
    <s v="Y"/>
    <n v="2"/>
    <n v="-2"/>
    <n v="0"/>
    <x v="20"/>
    <x v="0"/>
    <n v="1"/>
    <n v="1"/>
    <n v="0"/>
    <n v="429"/>
    <n v="1"/>
    <x v="0"/>
    <n v="1"/>
    <n v="3"/>
    <n v="99"/>
    <n v="3"/>
    <n v="1"/>
    <n v="2"/>
    <n v="2342"/>
    <n v="11092"/>
    <n v="1"/>
    <n v="12"/>
    <n v="3"/>
    <n v="3"/>
    <n v="80"/>
    <n v="3"/>
    <n v="6"/>
    <n v="2"/>
    <n v="5"/>
    <n v="3"/>
    <n v="2"/>
    <n v="3"/>
  </r>
  <r>
    <s v="Yes"/>
    <s v="Travel_Frequently"/>
    <x v="2"/>
    <s v="Ex-Employees"/>
    <x v="1"/>
    <x v="0"/>
    <x v="1444"/>
    <x v="1444"/>
    <x v="1"/>
    <x v="2"/>
    <x v="1"/>
    <s v="Yes"/>
    <s v="Y"/>
    <n v="2"/>
    <n v="-2"/>
    <n v="0"/>
    <x v="12"/>
    <x v="0"/>
    <n v="1"/>
    <n v="1"/>
    <n v="0"/>
    <n v="523"/>
    <n v="2"/>
    <x v="3"/>
    <n v="1"/>
    <n v="2"/>
    <n v="94"/>
    <n v="3"/>
    <n v="1"/>
    <n v="4"/>
    <n v="3722"/>
    <n v="21081"/>
    <n v="6"/>
    <n v="13"/>
    <n v="3"/>
    <n v="3"/>
    <n v="80"/>
    <n v="1"/>
    <n v="7"/>
    <n v="1"/>
    <n v="2"/>
    <n v="2"/>
    <n v="2"/>
    <n v="2"/>
  </r>
  <r>
    <s v="Yes"/>
    <s v="Travel_Frequently"/>
    <x v="0"/>
    <s v="Ex-Employees"/>
    <x v="1"/>
    <x v="4"/>
    <x v="1445"/>
    <x v="1445"/>
    <x v="1"/>
    <x v="1"/>
    <x v="1"/>
    <s v="Yes"/>
    <s v="Y"/>
    <n v="4"/>
    <n v="-2"/>
    <n v="0"/>
    <x v="23"/>
    <x v="0"/>
    <n v="1"/>
    <n v="1"/>
    <n v="0"/>
    <n v="807"/>
    <n v="17"/>
    <x v="3"/>
    <n v="1"/>
    <n v="3"/>
    <n v="38"/>
    <n v="2"/>
    <n v="1"/>
    <n v="3"/>
    <n v="2437"/>
    <n v="15587"/>
    <n v="9"/>
    <n v="16"/>
    <n v="3"/>
    <n v="4"/>
    <n v="80"/>
    <n v="1"/>
    <n v="6"/>
    <n v="3"/>
    <n v="1"/>
    <n v="0"/>
    <n v="0"/>
    <n v="0"/>
  </r>
  <r>
    <s v="Yes"/>
    <s v="Travel_Frequently"/>
    <x v="4"/>
    <s v="Ex-Employees"/>
    <x v="1"/>
    <x v="2"/>
    <x v="1446"/>
    <x v="1446"/>
    <x v="1"/>
    <x v="2"/>
    <x v="0"/>
    <s v="Yes"/>
    <s v="Y"/>
    <n v="2"/>
    <n v="-2"/>
    <n v="0"/>
    <x v="17"/>
    <x v="0"/>
    <n v="1"/>
    <n v="1"/>
    <n v="0"/>
    <n v="381"/>
    <n v="9"/>
    <x v="3"/>
    <n v="1"/>
    <n v="2"/>
    <n v="89"/>
    <n v="3"/>
    <n v="1"/>
    <n v="1"/>
    <n v="3172"/>
    <n v="16998"/>
    <n v="2"/>
    <n v="11"/>
    <n v="3"/>
    <n v="3"/>
    <n v="80"/>
    <n v="0"/>
    <n v="4"/>
    <n v="2"/>
    <n v="0"/>
    <n v="0"/>
    <n v="0"/>
    <n v="0"/>
  </r>
  <r>
    <s v="Yes"/>
    <s v="Travel_Frequently"/>
    <x v="2"/>
    <s v="Ex-Employees"/>
    <x v="0"/>
    <x v="3"/>
    <x v="1447"/>
    <x v="1447"/>
    <x v="1"/>
    <x v="0"/>
    <x v="1"/>
    <s v="Yes"/>
    <s v="Y"/>
    <n v="4"/>
    <n v="-2"/>
    <n v="0"/>
    <x v="12"/>
    <x v="0"/>
    <n v="1"/>
    <n v="1"/>
    <n v="0"/>
    <n v="754"/>
    <n v="26"/>
    <x v="2"/>
    <n v="1"/>
    <n v="1"/>
    <n v="63"/>
    <n v="3"/>
    <n v="2"/>
    <n v="1"/>
    <n v="5617"/>
    <n v="21075"/>
    <n v="1"/>
    <n v="11"/>
    <n v="3"/>
    <n v="3"/>
    <n v="80"/>
    <n v="0"/>
    <n v="10"/>
    <n v="3"/>
    <n v="10"/>
    <n v="7"/>
    <n v="0"/>
    <n v="8"/>
  </r>
  <r>
    <s v="Yes"/>
    <s v="Travel_Rarely"/>
    <x v="2"/>
    <s v="Ex-Employees"/>
    <x v="2"/>
    <x v="5"/>
    <x v="1448"/>
    <x v="1448"/>
    <x v="1"/>
    <x v="8"/>
    <x v="2"/>
    <s v="Yes"/>
    <s v="Y"/>
    <n v="3"/>
    <n v="-2"/>
    <n v="0"/>
    <x v="11"/>
    <x v="0"/>
    <n v="1"/>
    <n v="1"/>
    <n v="0"/>
    <n v="350"/>
    <n v="13"/>
    <x v="3"/>
    <n v="1"/>
    <n v="1"/>
    <n v="56"/>
    <n v="2"/>
    <n v="1"/>
    <n v="1"/>
    <n v="2335"/>
    <n v="3157"/>
    <n v="4"/>
    <n v="15"/>
    <n v="3"/>
    <n v="4"/>
    <n v="80"/>
    <n v="3"/>
    <n v="4"/>
    <n v="3"/>
    <n v="2"/>
    <n v="2"/>
    <n v="2"/>
    <n v="0"/>
  </r>
  <r>
    <s v="Yes"/>
    <s v="Travel_Rarely"/>
    <x v="2"/>
    <s v="Ex-Employees"/>
    <x v="1"/>
    <x v="2"/>
    <x v="1449"/>
    <x v="1449"/>
    <x v="1"/>
    <x v="1"/>
    <x v="1"/>
    <s v="Yes"/>
    <s v="Y"/>
    <n v="3"/>
    <n v="-2"/>
    <n v="0"/>
    <x v="11"/>
    <x v="0"/>
    <n v="1"/>
    <n v="1"/>
    <n v="0"/>
    <n v="1092"/>
    <n v="1"/>
    <x v="2"/>
    <n v="1"/>
    <n v="1"/>
    <n v="36"/>
    <n v="3"/>
    <n v="1"/>
    <n v="4"/>
    <n v="4787"/>
    <n v="26124"/>
    <n v="9"/>
    <n v="14"/>
    <n v="3"/>
    <n v="2"/>
    <n v="80"/>
    <n v="3"/>
    <n v="4"/>
    <n v="4"/>
    <n v="2"/>
    <n v="2"/>
    <n v="2"/>
    <n v="2"/>
  </r>
  <r>
    <s v="Yes"/>
    <s v="Travel_Rarely"/>
    <x v="2"/>
    <s v="Ex-Employees"/>
    <x v="1"/>
    <x v="2"/>
    <x v="1450"/>
    <x v="1450"/>
    <x v="1"/>
    <x v="2"/>
    <x v="1"/>
    <s v="Yes"/>
    <s v="Y"/>
    <n v="3"/>
    <n v="-2"/>
    <n v="0"/>
    <x v="14"/>
    <x v="0"/>
    <n v="1"/>
    <n v="1"/>
    <n v="0"/>
    <n v="329"/>
    <n v="24"/>
    <x v="3"/>
    <n v="1"/>
    <n v="3"/>
    <n v="51"/>
    <n v="3"/>
    <n v="1"/>
    <n v="2"/>
    <n v="2408"/>
    <n v="7324"/>
    <n v="1"/>
    <n v="17"/>
    <n v="3"/>
    <n v="3"/>
    <n v="80"/>
    <n v="3"/>
    <n v="1"/>
    <n v="3"/>
    <n v="1"/>
    <n v="1"/>
    <n v="0"/>
    <n v="0"/>
  </r>
  <r>
    <s v="Yes"/>
    <s v="Travel_Rarely"/>
    <x v="0"/>
    <s v="Ex-Employees"/>
    <x v="1"/>
    <x v="0"/>
    <x v="1451"/>
    <x v="1451"/>
    <x v="1"/>
    <x v="2"/>
    <x v="0"/>
    <s v="Yes"/>
    <s v="Y"/>
    <n v="3"/>
    <n v="-2"/>
    <n v="0"/>
    <x v="32"/>
    <x v="0"/>
    <n v="1"/>
    <n v="1"/>
    <n v="0"/>
    <n v="1329"/>
    <n v="7"/>
    <x v="3"/>
    <n v="1"/>
    <n v="1"/>
    <n v="73"/>
    <n v="3"/>
    <n v="1"/>
    <n v="1"/>
    <n v="2166"/>
    <n v="3339"/>
    <n v="3"/>
    <n v="14"/>
    <n v="3"/>
    <n v="2"/>
    <n v="80"/>
    <n v="0"/>
    <n v="10"/>
    <n v="1"/>
    <n v="4"/>
    <n v="2"/>
    <n v="0"/>
    <n v="3"/>
  </r>
  <r>
    <s v="Yes"/>
    <s v="Travel_Rarely"/>
    <x v="4"/>
    <s v="Ex-Employees"/>
    <x v="1"/>
    <x v="2"/>
    <x v="1452"/>
    <x v="1452"/>
    <x v="1"/>
    <x v="2"/>
    <x v="0"/>
    <s v="Yes"/>
    <s v="Y"/>
    <n v="2"/>
    <n v="-2"/>
    <n v="0"/>
    <x v="30"/>
    <x v="0"/>
    <n v="1"/>
    <n v="1"/>
    <n v="0"/>
    <n v="1320"/>
    <n v="8"/>
    <x v="1"/>
    <n v="1"/>
    <n v="4"/>
    <n v="93"/>
    <n v="2"/>
    <n v="1"/>
    <n v="3"/>
    <n v="3989"/>
    <n v="20586"/>
    <n v="1"/>
    <n v="11"/>
    <n v="3"/>
    <n v="1"/>
    <n v="80"/>
    <n v="0"/>
    <n v="5"/>
    <n v="3"/>
    <n v="5"/>
    <n v="4"/>
    <n v="1"/>
    <n v="2"/>
  </r>
  <r>
    <s v="Yes"/>
    <s v="Travel_Rarely"/>
    <x v="1"/>
    <s v="Ex-Employees"/>
    <x v="0"/>
    <x v="3"/>
    <x v="1453"/>
    <x v="1453"/>
    <x v="1"/>
    <x v="0"/>
    <x v="2"/>
    <s v="Yes"/>
    <s v="Y"/>
    <n v="3"/>
    <n v="-2"/>
    <n v="0"/>
    <x v="24"/>
    <x v="0"/>
    <n v="1"/>
    <n v="1"/>
    <n v="0"/>
    <n v="410"/>
    <n v="28"/>
    <x v="3"/>
    <n v="1"/>
    <n v="4"/>
    <n v="39"/>
    <n v="2"/>
    <n v="3"/>
    <n v="1"/>
    <n v="10854"/>
    <n v="16586"/>
    <n v="4"/>
    <n v="13"/>
    <n v="3"/>
    <n v="2"/>
    <n v="80"/>
    <n v="1"/>
    <n v="20"/>
    <n v="3"/>
    <n v="3"/>
    <n v="2"/>
    <n v="2"/>
    <n v="0"/>
  </r>
  <r>
    <s v="Yes"/>
    <s v="Travel_Rarely"/>
    <x v="0"/>
    <s v="Ex-Employees"/>
    <x v="0"/>
    <x v="2"/>
    <x v="1454"/>
    <x v="1454"/>
    <x v="1"/>
    <x v="0"/>
    <x v="2"/>
    <s v="Yes"/>
    <s v="Y"/>
    <n v="2"/>
    <n v="-2"/>
    <n v="0"/>
    <x v="10"/>
    <x v="0"/>
    <n v="1"/>
    <n v="1"/>
    <n v="0"/>
    <n v="763"/>
    <n v="15"/>
    <x v="0"/>
    <n v="1"/>
    <n v="1"/>
    <n v="59"/>
    <n v="1"/>
    <n v="2"/>
    <n v="4"/>
    <n v="5440"/>
    <n v="22098"/>
    <n v="6"/>
    <n v="14"/>
    <n v="3"/>
    <n v="4"/>
    <n v="80"/>
    <n v="2"/>
    <n v="7"/>
    <n v="2"/>
    <n v="2"/>
    <n v="2"/>
    <n v="2"/>
    <n v="2"/>
  </r>
  <r>
    <s v="Yes"/>
    <s v="Travel_Rarely"/>
    <x v="0"/>
    <s v="Ex-Employees"/>
    <x v="0"/>
    <x v="3"/>
    <x v="1455"/>
    <x v="1455"/>
    <x v="1"/>
    <x v="0"/>
    <x v="2"/>
    <s v="Yes"/>
    <s v="Y"/>
    <n v="3"/>
    <n v="-2"/>
    <n v="0"/>
    <x v="9"/>
    <x v="0"/>
    <n v="1"/>
    <n v="1"/>
    <n v="0"/>
    <n v="1456"/>
    <n v="13"/>
    <x v="4"/>
    <n v="1"/>
    <n v="2"/>
    <n v="96"/>
    <n v="2"/>
    <n v="2"/>
    <n v="1"/>
    <n v="6134"/>
    <n v="8658"/>
    <n v="5"/>
    <n v="13"/>
    <n v="3"/>
    <n v="2"/>
    <n v="80"/>
    <n v="3"/>
    <n v="16"/>
    <n v="3"/>
    <n v="2"/>
    <n v="2"/>
    <n v="2"/>
    <n v="2"/>
  </r>
  <r>
    <s v="Yes"/>
    <s v="Travel_Rarely"/>
    <x v="1"/>
    <s v="Ex-Employees"/>
    <x v="0"/>
    <x v="0"/>
    <x v="1456"/>
    <x v="1456"/>
    <x v="1"/>
    <x v="0"/>
    <x v="0"/>
    <s v="Yes"/>
    <s v="Y"/>
    <n v="2"/>
    <n v="-2"/>
    <n v="0"/>
    <x v="16"/>
    <x v="0"/>
    <n v="1"/>
    <n v="1"/>
    <n v="0"/>
    <n v="1168"/>
    <n v="24"/>
    <x v="2"/>
    <n v="1"/>
    <n v="1"/>
    <n v="66"/>
    <n v="3"/>
    <n v="3"/>
    <n v="1"/>
    <n v="10448"/>
    <n v="5843"/>
    <n v="6"/>
    <n v="13"/>
    <n v="3"/>
    <n v="2"/>
    <n v="80"/>
    <n v="0"/>
    <n v="15"/>
    <n v="2"/>
    <n v="2"/>
    <n v="2"/>
    <n v="2"/>
    <n v="2"/>
  </r>
  <r>
    <s v="Yes"/>
    <s v="Travel_Rarely"/>
    <x v="2"/>
    <s v="Ex-Employees"/>
    <x v="0"/>
    <x v="3"/>
    <x v="1457"/>
    <x v="1457"/>
    <x v="1"/>
    <x v="0"/>
    <x v="0"/>
    <s v="Yes"/>
    <s v="Y"/>
    <n v="3"/>
    <n v="-2"/>
    <n v="0"/>
    <x v="5"/>
    <x v="0"/>
    <n v="1"/>
    <n v="1"/>
    <n v="0"/>
    <n v="414"/>
    <n v="2"/>
    <x v="2"/>
    <n v="1"/>
    <n v="3"/>
    <n v="82"/>
    <n v="2"/>
    <n v="2"/>
    <n v="2"/>
    <n v="9907"/>
    <n v="26186"/>
    <n v="7"/>
    <n v="12"/>
    <n v="3"/>
    <n v="3"/>
    <n v="80"/>
    <n v="0"/>
    <n v="7"/>
    <n v="2"/>
    <n v="2"/>
    <n v="2"/>
    <n v="2"/>
    <n v="2"/>
  </r>
  <r>
    <s v="Yes"/>
    <s v="Travel_Rarely"/>
    <x v="0"/>
    <s v="Ex-Employees"/>
    <x v="0"/>
    <x v="0"/>
    <x v="1458"/>
    <x v="1458"/>
    <x v="1"/>
    <x v="0"/>
    <x v="0"/>
    <s v="Yes"/>
    <s v="Y"/>
    <n v="2"/>
    <n v="-2"/>
    <n v="0"/>
    <x v="10"/>
    <x v="0"/>
    <n v="1"/>
    <n v="1"/>
    <n v="0"/>
    <n v="303"/>
    <n v="27"/>
    <x v="3"/>
    <n v="1"/>
    <n v="3"/>
    <n v="84"/>
    <n v="3"/>
    <n v="2"/>
    <n v="4"/>
    <n v="5813"/>
    <n v="13492"/>
    <n v="1"/>
    <n v="18"/>
    <n v="3"/>
    <n v="4"/>
    <n v="80"/>
    <n v="0"/>
    <n v="10"/>
    <n v="3"/>
    <n v="10"/>
    <n v="7"/>
    <n v="7"/>
    <n v="7"/>
  </r>
  <r>
    <s v="Yes"/>
    <s v="Travel_Rarely"/>
    <x v="1"/>
    <s v="Ex-Employees"/>
    <x v="1"/>
    <x v="2"/>
    <x v="1459"/>
    <x v="1459"/>
    <x v="0"/>
    <x v="4"/>
    <x v="1"/>
    <s v="No"/>
    <s v="Y"/>
    <n v="2"/>
    <n v="-2"/>
    <n v="0"/>
    <x v="21"/>
    <x v="0"/>
    <n v="1"/>
    <n v="1"/>
    <n v="0"/>
    <n v="261"/>
    <n v="21"/>
    <x v="0"/>
    <n v="1"/>
    <n v="4"/>
    <n v="66"/>
    <n v="3"/>
    <n v="2"/>
    <n v="2"/>
    <n v="8926"/>
    <n v="10842"/>
    <n v="4"/>
    <n v="22"/>
    <n v="4"/>
    <n v="4"/>
    <n v="80"/>
    <n v="1"/>
    <n v="13"/>
    <n v="4"/>
    <n v="9"/>
    <n v="7"/>
    <n v="3"/>
    <n v="7"/>
  </r>
  <r>
    <s v="Yes"/>
    <s v="Travel_Rarely"/>
    <x v="1"/>
    <s v="Ex-Employees"/>
    <x v="0"/>
    <x v="0"/>
    <x v="1460"/>
    <x v="1460"/>
    <x v="0"/>
    <x v="0"/>
    <x v="1"/>
    <s v="No"/>
    <s v="Y"/>
    <n v="2"/>
    <n v="-2"/>
    <n v="0"/>
    <x v="21"/>
    <x v="0"/>
    <n v="1"/>
    <n v="1"/>
    <n v="0"/>
    <n v="1254"/>
    <n v="10"/>
    <x v="3"/>
    <n v="1"/>
    <n v="3"/>
    <n v="64"/>
    <n v="3"/>
    <n v="3"/>
    <n v="2"/>
    <n v="7314"/>
    <n v="14011"/>
    <n v="5"/>
    <n v="21"/>
    <n v="4"/>
    <n v="3"/>
    <n v="80"/>
    <n v="3"/>
    <n v="14"/>
    <n v="3"/>
    <n v="8"/>
    <n v="7"/>
    <n v="0"/>
    <n v="7"/>
  </r>
  <r>
    <s v="Yes"/>
    <s v="Travel_Frequently"/>
    <x v="1"/>
    <s v="Ex-Employees"/>
    <x v="1"/>
    <x v="0"/>
    <x v="1461"/>
    <x v="1461"/>
    <x v="1"/>
    <x v="2"/>
    <x v="0"/>
    <s v="No"/>
    <s v="Y"/>
    <n v="2"/>
    <n v="-2"/>
    <n v="0"/>
    <x v="1"/>
    <x v="0"/>
    <n v="1"/>
    <n v="1"/>
    <n v="0"/>
    <n v="1475"/>
    <n v="28"/>
    <x v="0"/>
    <n v="1"/>
    <n v="1"/>
    <n v="97"/>
    <n v="2"/>
    <n v="2"/>
    <n v="1"/>
    <n v="4284"/>
    <n v="22710"/>
    <n v="3"/>
    <n v="20"/>
    <n v="4"/>
    <n v="1"/>
    <n v="80"/>
    <n v="0"/>
    <n v="20"/>
    <n v="3"/>
    <n v="4"/>
    <n v="3"/>
    <n v="1"/>
    <n v="3"/>
  </r>
  <r>
    <s v="Yes"/>
    <s v="Non-Travel"/>
    <x v="0"/>
    <s v="Ex-Employees"/>
    <x v="1"/>
    <x v="0"/>
    <x v="1462"/>
    <x v="1462"/>
    <x v="0"/>
    <x v="2"/>
    <x v="0"/>
    <s v="Yes"/>
    <s v="Y"/>
    <n v="2"/>
    <n v="-2"/>
    <n v="0"/>
    <x v="22"/>
    <x v="0"/>
    <n v="1"/>
    <n v="1"/>
    <n v="0"/>
    <n v="592"/>
    <n v="2"/>
    <x v="3"/>
    <n v="1"/>
    <n v="1"/>
    <n v="54"/>
    <n v="2"/>
    <n v="1"/>
    <n v="1"/>
    <n v="3646"/>
    <n v="17181"/>
    <n v="2"/>
    <n v="23"/>
    <n v="4"/>
    <n v="2"/>
    <n v="80"/>
    <n v="0"/>
    <n v="11"/>
    <n v="4"/>
    <n v="1"/>
    <n v="0"/>
    <n v="0"/>
    <n v="0"/>
  </r>
  <r>
    <s v="Yes"/>
    <s v="Travel_Rarely"/>
    <x v="2"/>
    <s v="Ex-Employees"/>
    <x v="0"/>
    <x v="2"/>
    <x v="1463"/>
    <x v="1463"/>
    <x v="0"/>
    <x v="0"/>
    <x v="0"/>
    <s v="Yes"/>
    <s v="Y"/>
    <n v="2"/>
    <n v="-2"/>
    <n v="0"/>
    <x v="13"/>
    <x v="0"/>
    <n v="1"/>
    <n v="1"/>
    <n v="0"/>
    <n v="790"/>
    <n v="24"/>
    <x v="2"/>
    <n v="1"/>
    <n v="1"/>
    <n v="40"/>
    <n v="2"/>
    <n v="2"/>
    <n v="2"/>
    <n v="4599"/>
    <n v="7815"/>
    <n v="0"/>
    <n v="23"/>
    <n v="4"/>
    <n v="3"/>
    <n v="80"/>
    <n v="0"/>
    <n v="16"/>
    <n v="4"/>
    <n v="15"/>
    <n v="9"/>
    <n v="10"/>
    <n v="10"/>
  </r>
  <r>
    <s v="Yes"/>
    <s v="Travel_Rarely"/>
    <x v="2"/>
    <s v="Ex-Employees"/>
    <x v="0"/>
    <x v="0"/>
    <x v="1464"/>
    <x v="1464"/>
    <x v="0"/>
    <x v="0"/>
    <x v="0"/>
    <s v="Yes"/>
    <s v="Y"/>
    <n v="2"/>
    <n v="-2"/>
    <n v="0"/>
    <x v="3"/>
    <x v="0"/>
    <n v="1"/>
    <n v="1"/>
    <n v="0"/>
    <n v="211"/>
    <n v="16"/>
    <x v="3"/>
    <n v="1"/>
    <n v="1"/>
    <n v="74"/>
    <n v="3"/>
    <n v="3"/>
    <n v="1"/>
    <n v="8564"/>
    <n v="10092"/>
    <n v="2"/>
    <n v="20"/>
    <n v="4"/>
    <n v="3"/>
    <n v="80"/>
    <n v="0"/>
    <n v="11"/>
    <n v="2"/>
    <n v="0"/>
    <n v="0"/>
    <n v="0"/>
    <n v="0"/>
  </r>
  <r>
    <s v="Yes"/>
    <s v="Non-Travel"/>
    <x v="2"/>
    <s v="Ex-Employees"/>
    <x v="1"/>
    <x v="4"/>
    <x v="1465"/>
    <x v="1465"/>
    <x v="1"/>
    <x v="1"/>
    <x v="1"/>
    <s v="Yes"/>
    <s v="Y"/>
    <n v="2"/>
    <n v="-2"/>
    <n v="0"/>
    <x v="13"/>
    <x v="0"/>
    <n v="1"/>
    <n v="1"/>
    <n v="0"/>
    <n v="967"/>
    <n v="16"/>
    <x v="2"/>
    <n v="1"/>
    <n v="4"/>
    <n v="85"/>
    <n v="1"/>
    <n v="1"/>
    <n v="1"/>
    <n v="2307"/>
    <n v="14460"/>
    <n v="1"/>
    <n v="23"/>
    <n v="4"/>
    <n v="2"/>
    <n v="80"/>
    <n v="1"/>
    <n v="5"/>
    <n v="3"/>
    <n v="5"/>
    <n v="2"/>
    <n v="3"/>
    <n v="0"/>
  </r>
  <r>
    <s v="Yes"/>
    <s v="Travel_Frequently"/>
    <x v="2"/>
    <s v="Ex-Employees"/>
    <x v="1"/>
    <x v="0"/>
    <x v="1466"/>
    <x v="1466"/>
    <x v="1"/>
    <x v="1"/>
    <x v="0"/>
    <s v="Yes"/>
    <s v="Y"/>
    <n v="3"/>
    <n v="-2"/>
    <n v="0"/>
    <x v="11"/>
    <x v="0"/>
    <n v="1"/>
    <n v="1"/>
    <n v="0"/>
    <n v="459"/>
    <n v="24"/>
    <x v="0"/>
    <n v="1"/>
    <n v="4"/>
    <n v="73"/>
    <n v="2"/>
    <n v="1"/>
    <n v="4"/>
    <n v="2439"/>
    <n v="14753"/>
    <n v="1"/>
    <n v="24"/>
    <n v="4"/>
    <n v="2"/>
    <n v="80"/>
    <n v="0"/>
    <n v="1"/>
    <n v="2"/>
    <n v="1"/>
    <n v="0"/>
    <n v="1"/>
    <n v="0"/>
  </r>
  <r>
    <s v="Yes"/>
    <s v="Travel_Frequently"/>
    <x v="0"/>
    <s v="Ex-Employees"/>
    <x v="0"/>
    <x v="1"/>
    <x v="1467"/>
    <x v="1467"/>
    <x v="1"/>
    <x v="0"/>
    <x v="0"/>
    <s v="Yes"/>
    <s v="Y"/>
    <n v="2"/>
    <n v="-2"/>
    <n v="0"/>
    <x v="10"/>
    <x v="0"/>
    <n v="1"/>
    <n v="1"/>
    <n v="0"/>
    <n v="880"/>
    <n v="12"/>
    <x v="2"/>
    <n v="1"/>
    <n v="4"/>
    <n v="36"/>
    <n v="3"/>
    <n v="2"/>
    <n v="4"/>
    <n v="4581"/>
    <n v="10414"/>
    <n v="3"/>
    <n v="24"/>
    <n v="4"/>
    <n v="1"/>
    <n v="80"/>
    <n v="0"/>
    <n v="13"/>
    <n v="4"/>
    <n v="11"/>
    <n v="9"/>
    <n v="6"/>
    <n v="7"/>
  </r>
  <r>
    <s v="Yes"/>
    <s v="Travel_Rarely"/>
    <x v="4"/>
    <s v="Ex-Employees"/>
    <x v="1"/>
    <x v="0"/>
    <x v="1468"/>
    <x v="1468"/>
    <x v="1"/>
    <x v="1"/>
    <x v="0"/>
    <s v="Yes"/>
    <s v="Y"/>
    <n v="2"/>
    <n v="-2"/>
    <n v="0"/>
    <x v="15"/>
    <x v="0"/>
    <n v="1"/>
    <n v="1"/>
    <n v="0"/>
    <n v="391"/>
    <n v="7"/>
    <x v="1"/>
    <n v="1"/>
    <n v="4"/>
    <n v="75"/>
    <n v="3"/>
    <n v="1"/>
    <n v="2"/>
    <n v="2472"/>
    <n v="26092"/>
    <n v="1"/>
    <n v="23"/>
    <n v="4"/>
    <n v="1"/>
    <n v="80"/>
    <n v="0"/>
    <n v="1"/>
    <n v="3"/>
    <n v="1"/>
    <n v="0"/>
    <n v="0"/>
    <n v="0"/>
  </r>
  <r>
    <s v="Yes"/>
    <s v="Travel_Rarely"/>
    <x v="4"/>
    <s v="Ex-Employees"/>
    <x v="0"/>
    <x v="0"/>
    <x v="1469"/>
    <x v="1469"/>
    <x v="1"/>
    <x v="6"/>
    <x v="2"/>
    <s v="Yes"/>
    <s v="Y"/>
    <n v="2"/>
    <n v="-2"/>
    <n v="0"/>
    <x v="30"/>
    <x v="0"/>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579B11-2219-40B6-9A44-9DABDD948F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G13" firstHeaderRow="1" firstDataRow="1" firstDataCol="0"/>
  <pivotFields count="44">
    <pivotField showAll="0"/>
    <pivotField showAll="0"/>
    <pivotField showAll="0"/>
    <pivotField showAll="0"/>
    <pivotField showAll="0"/>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06CF10-764E-4233-A92D-75751039C1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44">
    <pivotField showAll="0"/>
    <pivotField showAll="0"/>
    <pivotField showAll="0"/>
    <pivotField showAll="0"/>
    <pivotField showAll="0"/>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7"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D0F5B6-7C3F-4056-95AB-790EA11E25F7}"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44">
    <pivotField showAll="0"/>
    <pivotField showAll="0"/>
    <pivotField showAll="0"/>
    <pivotField showAll="0"/>
    <pivotField showAll="0"/>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44A363-BFFA-498C-AF32-C48E2D12307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B3C07E-F301-460B-B068-81833AEEBA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46800C-4D91-40DC-9641-698596CEC2C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0E2874-23BB-41D2-8BF3-7B2A90B054B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D374FA-A18A-43EF-94F6-83F1CC7FA36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Job Role">
  <location ref="H6:I12"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i>
    <i>
      <x v="2"/>
    </i>
    <i>
      <x v="3"/>
    </i>
    <i>
      <x v="4"/>
    </i>
    <i>
      <x v="5"/>
    </i>
    <i>
      <x v="6"/>
    </i>
  </rowItems>
  <colItems count="1">
    <i/>
  </colItems>
  <dataFields count="1">
    <dataField name="Attirition"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A1AC80-C48A-4729-BEE7-54CF51D9526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Job Role">
  <location ref="A3:B9"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i>
    <i>
      <x v="2"/>
    </i>
    <i>
      <x v="3"/>
    </i>
    <i>
      <x v="4"/>
    </i>
    <i>
      <x v="5"/>
    </i>
    <i>
      <x v="6"/>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4B6D30-8DA7-4A08-B27B-CE9ED183D7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 firstHeaderRow="1" firstDataRow="1" firstDataCol="1"/>
  <pivotFields count="44">
    <pivotField showAll="0"/>
    <pivotField showAll="0"/>
    <pivotField showAll="0"/>
    <pivotField showAll="0"/>
    <pivotField axis="axisRow" showAll="0">
      <items count="4">
        <item h="1" x="2"/>
        <item x="1"/>
        <item h="1" x="0"/>
        <item t="default"/>
      </items>
    </pivotField>
    <pivotField showAll="0">
      <items count="7">
        <item h="1" x="5"/>
        <item x="0"/>
        <item h="1" x="3"/>
        <item h="1"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Items count="1">
    <i/>
  </colItems>
  <dataFields count="1">
    <dataField name="Sum of CF_attrition count" fld="17" showDataAs="percentOfTotal" baseField="0" baseItem="0" numFmtId="10"/>
  </dataFields>
  <chartFormats count="13">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9" format="5">
      <pivotArea type="data" outline="0" fieldPosition="0">
        <references count="2">
          <reference field="4294967294" count="1" selected="0">
            <x v="0"/>
          </reference>
          <reference field="4" count="1" selected="0">
            <x v="0"/>
          </reference>
        </references>
      </pivotArea>
    </chartFormat>
    <chartFormat chart="9" format="6">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28C3B2-143C-4FCF-AFDA-3800884EEE3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7">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4"/>
          </reference>
        </references>
      </pivotArea>
    </chartFormat>
    <chartFormat chart="4" format="4">
      <pivotArea type="data" outline="0" fieldPosition="0">
        <references count="2">
          <reference field="4294967294" count="1" selected="0">
            <x v="0"/>
          </reference>
          <reference field="2" count="1" selected="0">
            <x v="0"/>
          </reference>
        </references>
      </pivotArea>
    </chartFormat>
    <chartFormat chart="4" format="5">
      <pivotArea type="data" outline="0" fieldPosition="0">
        <references count="2">
          <reference field="4294967294" count="1" selected="0">
            <x v="0"/>
          </reference>
          <reference field="2" count="1" selected="0">
            <x v="1"/>
          </reference>
        </references>
      </pivotArea>
    </chartFormat>
    <chartFormat chart="4" format="6">
      <pivotArea type="data" outline="0" fieldPosition="0">
        <references count="2">
          <reference field="4294967294" count="1" selected="0">
            <x v="0"/>
          </reference>
          <reference field="2" count="1" selected="0">
            <x v="3"/>
          </reference>
        </references>
      </pivotArea>
    </chartFormat>
    <chartFormat chart="4" format="7">
      <pivotArea type="data" outline="0" fieldPosition="0">
        <references count="2">
          <reference field="4294967294" count="1" selected="0">
            <x v="0"/>
          </reference>
          <reference field="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8DF55A2-6398-498B-A7F6-2673D776CC4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43E9F1F-0122-4498-A5F7-AEDD3C6B05D9}" sourceName="Gender">
  <pivotTables>
    <pivotTable tabId="10" name="PivotTable4"/>
    <pivotTable tabId="10" name="PivotTable8"/>
  </pivotTables>
  <data>
    <tabular pivotCacheId="167113978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4511B57-2B8E-46B3-B12D-013840048167}" sourceName="Gender">
  <pivotTables>
    <pivotTable tabId="12" name="PivotTable9"/>
  </pivotTables>
  <data>
    <tabular pivotCacheId="1671139781">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2A475C1C-BF17-44F5-999C-4D6CDD8F8CE8}" sourceName="Education Field">
  <pivotTables>
    <pivotTable tabId="17" name="PivotTable7"/>
    <pivotTable tabId="14" name="PivotTable1"/>
    <pivotTable tabId="16" name="PivotTable6"/>
    <pivotTable tabId="13" name="PivotTable10"/>
    <pivotTable tabId="12" name="PivotTable9"/>
    <pivotTable tabId="18" name="PivotTable8"/>
    <pivotTable tabId="10" name="PivotTable4"/>
    <pivotTable tabId="14" name="PivotTable5"/>
    <pivotTable tabId="10" name="PivotTable8"/>
  </pivotTables>
  <data>
    <tabular pivotCacheId="1671139781" customListSort="0">
      <items count="6">
        <i x="0" s="1"/>
        <i x="2"/>
        <i x="1"/>
        <i x="4"/>
        <i x="5"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57AE3CF-DD00-4FCC-ACEB-671ADBFB184A}" sourceName="Department">
  <pivotTables>
    <pivotTable tabId="17" name="PivotTable7"/>
    <pivotTable tabId="14" name="PivotTable1"/>
    <pivotTable tabId="16" name="PivotTable6"/>
    <pivotTable tabId="13" name="PivotTable10"/>
    <pivotTable tabId="12" name="PivotTable9"/>
    <pivotTable tabId="18" name="PivotTable8"/>
    <pivotTable tabId="10" name="PivotTable8"/>
    <pivotTable tabId="14" name="PivotTable5"/>
    <pivotTable tabId="10" name="PivotTable4"/>
  </pivotTables>
  <data>
    <tabular pivotCacheId="1671139781">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582B3C6-4CD8-4F80-8874-41EE598C2CB4}" cache="Slicer_Gender" caption="Gender" rowHeight="257175"/>
  <slicer name="Education Field" xr10:uid="{649CD195-F23D-4F7E-A9E8-B1C40F85AB90}" cache="Slicer_Education_Field2" caption="Education Fiel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3D6239E-BFBE-448C-8FC7-0491203CE981}" cache="Slicer_Gender1" caption="Gender" rowHeight="257175"/>
  <slicer name="Education Field 1" xr10:uid="{676BD75E-E541-4919-9558-D1F6F966CA86}" cache="Slicer_Education_Field2"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ABF4E208-35BB-43F5-9E66-EE04BBB8B939}" cache="Slicer_Education_Field2" caption="Education Field" rowHeight="257175"/>
  <slicer name="Department" xr10:uid="{23804421-FAC1-44F4-9E37-759E377D5CA5}" cache="Slicer_Department" caption="Department"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99F91B3-8CF7-47D1-9B23-60CCA43E5874}" cache="Slicer_Gender1" caption="Gender" columnCount="2" style="Slicer Style 4" rowHeight="257175"/>
  <slicer name="Education Field 3" xr10:uid="{9529FEB2-72C2-4EE3-ACD7-88390C2A6AD3}" cache="Slicer_Education_Field2" style="Slicer Style 5" rowHeight="257175"/>
  <slicer name="Department 1" xr10:uid="{0CEEE6F6-31A3-494A-A9C4-87A7607399D4}" cache="Slicer_Department" style="Slicer Style 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8D0210-146C-4F65-AD79-25B4737B8AFF}" name="Table2" displayName="Table2" ref="A1:AR1471" totalsRowShown="0">
  <autoFilter ref="A1:AR1471" xr:uid="{B48D0210-146C-4F65-AD79-25B4737B8AFF}"/>
  <tableColumns count="44">
    <tableColumn id="1" xr3:uid="{827DDD10-B532-44B4-9A6A-46BABE24A971}" name="Attrition"/>
    <tableColumn id="2" xr3:uid="{95DD404C-5BFD-4D74-88D3-F65FE483A355}" name="Business Travel"/>
    <tableColumn id="3" xr3:uid="{8F85EFD7-40F5-423C-A1AE-F02EA321BB3D}" name="CF_age band"/>
    <tableColumn id="4" xr3:uid="{04603D3D-2C30-49D4-943F-1596BCFB2512}" name="CF_attrition label"/>
    <tableColumn id="5" xr3:uid="{40193271-F87D-4075-9971-932B5989EDFC}" name="Department"/>
    <tableColumn id="6" xr3:uid="{6DA557EF-2057-4EDF-8A2A-36E0143AA6E4}" name="Education Field"/>
    <tableColumn id="7" xr3:uid="{67B4248A-9801-49E9-9670-DC672764C9F2}" name="emp no"/>
    <tableColumn id="8" xr3:uid="{1F002796-BDC0-4461-AE83-28D5D530C3BA}" name="Employee Number"/>
    <tableColumn id="9" xr3:uid="{548B1F4B-ADE3-4A06-9857-A99E1C15B4B0}" name="Gender"/>
    <tableColumn id="10" xr3:uid="{A513682A-7677-4E68-BAD9-DFED32E93F1C}" name="Job Role"/>
    <tableColumn id="11" xr3:uid="{41216EEE-BBF2-4E7B-AC00-258060D069BA}" name="Marital Status"/>
    <tableColumn id="12" xr3:uid="{0F0F4AC4-6021-4D17-A7DD-227A655B15F5}" name="Over Time"/>
    <tableColumn id="13" xr3:uid="{BFD4C351-C09D-4691-BD7C-53152E4F007A}" name="Over18"/>
    <tableColumn id="14" xr3:uid="{F4E43BC9-7942-4326-9DF5-5183B9156D54}" name="Training Times Last Year"/>
    <tableColumn id="15" xr3:uid="{11D1D1CA-6A01-49CE-B978-DE5763FA786E}" name="-2"/>
    <tableColumn id="16" xr3:uid="{29B37598-2A85-4C42-94D4-8FA27EBD1703}" name="0"/>
    <tableColumn id="17" xr3:uid="{827CCE71-5C2F-495B-A2BB-B58322024A94}" name="Age"/>
    <tableColumn id="18" xr3:uid="{02A1907D-320C-4684-B819-D7B29BF91B9B}" name="CF_attrition count"/>
    <tableColumn id="19" xr3:uid="{F756D0DB-4A24-47A1-922E-6DB152B0BD5D}" name="CF_attrition counts"/>
    <tableColumn id="20" xr3:uid="{B80E10A6-2D29-4D18-A785-F6A56492FEB7}" name="CF_attrition rate"/>
    <tableColumn id="21" xr3:uid="{586942BA-84EC-4A29-B657-C459B6208C22}" name="CF_current Employee"/>
    <tableColumn id="22" xr3:uid="{B5FB56A9-13A1-4295-A78F-3DBFEA36952C}" name="Daily Rate"/>
    <tableColumn id="23" xr3:uid="{5542E028-1129-41BA-AAF4-8C3E4B7F3881}" name="Distance From Home"/>
    <tableColumn id="24" xr3:uid="{975EEFC1-9240-4CB4-8FB7-F63CA20CDA6C}" name="Education"/>
    <tableColumn id="25" xr3:uid="{35D14AA5-D1A1-4E64-89EF-3A5E4887E3BC}" name="Employee Count"/>
    <tableColumn id="26" xr3:uid="{72A81353-0221-4740-8886-4CF71503B6AF}" name="Environment Satisfaction"/>
    <tableColumn id="27" xr3:uid="{517E1F18-3A96-4E31-9809-BC43CA83F5CC}" name="Hourly Rate"/>
    <tableColumn id="28" xr3:uid="{46D09A9E-2AFF-40E7-BEF3-CD12AF0D6469}" name="Job Involvement"/>
    <tableColumn id="29" xr3:uid="{0EA96688-DA66-40DC-89FE-4FEC4FAF8194}" name="Job Level"/>
    <tableColumn id="30" xr3:uid="{41402B04-5D4F-4E48-B19E-C3A469800F6A}" name="Job Satisfaction"/>
    <tableColumn id="31" xr3:uid="{59A5F692-D53A-45AD-B35A-D673148225E6}" name="Monthly Income"/>
    <tableColumn id="32" xr3:uid="{7D40A1ED-3A8F-4266-8B6F-C5AF81B67815}" name="Monthly Rate"/>
    <tableColumn id="33" xr3:uid="{D5FCF8C5-DF72-4CD3-A6C4-0A5BF83261CC}" name="Num Companies Worked"/>
    <tableColumn id="34" xr3:uid="{F058954D-F1EA-4421-9E3C-49D5D0FB82CE}" name="Percent Salary Hike"/>
    <tableColumn id="35" xr3:uid="{2797DD60-80C3-4499-97E1-9228125F3939}" name="Performance Rating"/>
    <tableColumn id="36" xr3:uid="{586F1E8F-D953-4C6A-9C2B-126786B9287F}" name="Relationship Satisfaction"/>
    <tableColumn id="37" xr3:uid="{76F3E525-E905-4CCC-B2B0-E04404BE9A97}" name="Standard Hours"/>
    <tableColumn id="38" xr3:uid="{6A92D23A-F2F5-42F9-B26C-155742A88957}" name="Stock Option Level"/>
    <tableColumn id="39" xr3:uid="{585B7424-6DC4-41F6-95AF-00B675B22B71}" name="Total Working Years"/>
    <tableColumn id="40" xr3:uid="{866D8CA6-3D19-43CF-A23F-38C4ECA4F338}" name="Work Life Balance"/>
    <tableColumn id="41" xr3:uid="{5F3EBBDD-B87E-4CDD-A4A3-47229E040DA0}" name="Years At Company"/>
    <tableColumn id="42" xr3:uid="{7083E7E0-B9B4-4107-953F-A2ACFE3718CE}" name="Years In Current Role"/>
    <tableColumn id="43" xr3:uid="{9A1853FD-326B-4FAA-A716-7CB21A70BEDE}" name="Years Since Last Promotion"/>
    <tableColumn id="44" xr3:uid="{667F2B2E-5A5C-4D12-9379-A33A17B2FD58}" name="Years With Curr Manager"/>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34D47-5718-4975-8C07-B76AE1C9E37D}">
  <dimension ref="A1:AR1471"/>
  <sheetViews>
    <sheetView workbookViewId="0">
      <selection sqref="A1:AR1471"/>
    </sheetView>
  </sheetViews>
  <sheetFormatPr defaultRowHeight="15.75" x14ac:dyDescent="0.25"/>
  <cols>
    <col min="1" max="1" width="9.375" customWidth="1"/>
    <col min="2" max="2" width="15.5" customWidth="1"/>
    <col min="3" max="3" width="13.25" customWidth="1"/>
    <col min="4" max="4" width="16.75" customWidth="1"/>
    <col min="5" max="5" width="12.375" customWidth="1"/>
    <col min="6" max="6" width="15.125" customWidth="1"/>
    <col min="8" max="8" width="17.5" customWidth="1"/>
    <col min="10" max="10" width="9.5" customWidth="1"/>
    <col min="11" max="11" width="14.125" customWidth="1"/>
    <col min="12" max="12" width="11.125" customWidth="1"/>
    <col min="14" max="14" width="22.75" customWidth="1"/>
    <col min="18" max="18" width="17.25" customWidth="1"/>
    <col min="19" max="19" width="18.125" customWidth="1"/>
    <col min="20" max="20" width="16" customWidth="1"/>
    <col min="21" max="21" width="19.875" customWidth="1"/>
    <col min="22" max="22" width="11.125" customWidth="1"/>
    <col min="23" max="23" width="19.625" customWidth="1"/>
    <col min="24" max="24" width="10.75" customWidth="1"/>
    <col min="25" max="25" width="15.875" customWidth="1"/>
    <col min="26" max="26" width="22.875" customWidth="1"/>
    <col min="27" max="27" width="12.25" customWidth="1"/>
    <col min="28" max="28" width="15.75" customWidth="1"/>
    <col min="29" max="29" width="10.125" customWidth="1"/>
    <col min="30" max="30" width="15.375" customWidth="1"/>
    <col min="31" max="31" width="15.75" customWidth="1"/>
    <col min="32" max="32" width="13.625" customWidth="1"/>
    <col min="33" max="33" width="22.75" customWidth="1"/>
    <col min="34" max="34" width="18.375" customWidth="1"/>
    <col min="35" max="35" width="18.75" customWidth="1"/>
    <col min="36" max="36" width="22.875" customWidth="1"/>
    <col min="37" max="37" width="15.125" customWidth="1"/>
    <col min="38" max="38" width="17.75" customWidth="1"/>
    <col min="39" max="39" width="19.125" customWidth="1"/>
    <col min="40" max="41" width="17.5" customWidth="1"/>
    <col min="42" max="42" width="19.875" customWidth="1"/>
    <col min="43" max="43" width="24.625" customWidth="1"/>
    <col min="44" max="44" width="23.25"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23A8E-AF0D-424E-9AD3-771240A12B5D}">
  <dimension ref="A3:I20"/>
  <sheetViews>
    <sheetView workbookViewId="0">
      <selection activeCell="I19" sqref="I19"/>
    </sheetView>
  </sheetViews>
  <sheetFormatPr defaultRowHeight="15.75" x14ac:dyDescent="0.25"/>
  <cols>
    <col min="1" max="1" width="13.375" bestFit="1" customWidth="1"/>
    <col min="2" max="2" width="21.75" bestFit="1" customWidth="1"/>
    <col min="5" max="5" width="16.125" customWidth="1"/>
    <col min="6" max="6" width="14" customWidth="1"/>
    <col min="7" max="7" width="16.375" customWidth="1"/>
    <col min="8" max="8" width="15.875" customWidth="1"/>
    <col min="9" max="9" width="12.25" customWidth="1"/>
  </cols>
  <sheetData>
    <row r="3" spans="1:9" x14ac:dyDescent="0.25">
      <c r="A3" s="1"/>
      <c r="B3" s="2"/>
      <c r="C3" s="3"/>
      <c r="G3" s="10" t="s">
        <v>1556</v>
      </c>
    </row>
    <row r="4" spans="1:9" x14ac:dyDescent="0.25">
      <c r="A4" s="4"/>
      <c r="B4" s="5"/>
      <c r="C4" s="6"/>
      <c r="G4" s="12">
        <v>1470</v>
      </c>
    </row>
    <row r="5" spans="1:9" x14ac:dyDescent="0.25">
      <c r="A5" s="4"/>
      <c r="B5" s="5"/>
      <c r="C5" s="6"/>
    </row>
    <row r="6" spans="1:9" x14ac:dyDescent="0.25">
      <c r="A6" s="4"/>
      <c r="B6" s="5"/>
      <c r="C6" s="6"/>
      <c r="G6" s="1" t="s">
        <v>1556</v>
      </c>
    </row>
    <row r="7" spans="1:9" x14ac:dyDescent="0.25">
      <c r="A7" s="4"/>
      <c r="B7" s="5"/>
      <c r="C7" s="6"/>
      <c r="G7" s="14">
        <v>1470</v>
      </c>
    </row>
    <row r="8" spans="1:9" x14ac:dyDescent="0.25">
      <c r="A8" s="4"/>
      <c r="B8" s="5"/>
      <c r="C8" s="6"/>
    </row>
    <row r="9" spans="1:9" x14ac:dyDescent="0.25">
      <c r="A9" s="4"/>
      <c r="B9" s="5"/>
      <c r="C9" s="6"/>
      <c r="G9" s="13" t="s">
        <v>1557</v>
      </c>
    </row>
    <row r="10" spans="1:9" x14ac:dyDescent="0.25">
      <c r="A10" s="4"/>
      <c r="B10" s="5"/>
      <c r="C10" s="6"/>
      <c r="G10" s="15">
        <v>237</v>
      </c>
    </row>
    <row r="11" spans="1:9" x14ac:dyDescent="0.25">
      <c r="A11" s="4"/>
      <c r="B11" s="5"/>
      <c r="C11" s="6"/>
    </row>
    <row r="12" spans="1:9" x14ac:dyDescent="0.25">
      <c r="A12" s="4"/>
      <c r="B12" s="5"/>
      <c r="C12" s="6"/>
      <c r="G12" s="10" t="s">
        <v>1558</v>
      </c>
    </row>
    <row r="13" spans="1:9" x14ac:dyDescent="0.25">
      <c r="A13" s="4"/>
      <c r="B13" s="5"/>
      <c r="C13" s="6"/>
      <c r="G13" s="12">
        <v>36.923809523809524</v>
      </c>
    </row>
    <row r="14" spans="1:9" x14ac:dyDescent="0.25">
      <c r="A14" s="4"/>
      <c r="B14" s="5"/>
      <c r="C14" s="6"/>
    </row>
    <row r="15" spans="1:9" x14ac:dyDescent="0.25">
      <c r="A15" s="4"/>
      <c r="B15" s="5"/>
      <c r="C15" s="6"/>
    </row>
    <row r="16" spans="1:9" x14ac:dyDescent="0.25">
      <c r="A16" s="4"/>
      <c r="B16" s="5"/>
      <c r="C16" s="6"/>
      <c r="E16" t="s">
        <v>1559</v>
      </c>
      <c r="F16" t="s">
        <v>1560</v>
      </c>
      <c r="G16" t="s">
        <v>1561</v>
      </c>
      <c r="H16" t="s">
        <v>1562</v>
      </c>
      <c r="I16" t="s">
        <v>1563</v>
      </c>
    </row>
    <row r="17" spans="1:9" x14ac:dyDescent="0.25">
      <c r="A17" s="4"/>
      <c r="B17" s="5"/>
      <c r="C17" s="6"/>
      <c r="E17">
        <f>G7</f>
        <v>1470</v>
      </c>
      <c r="F17">
        <f>G10</f>
        <v>237</v>
      </c>
      <c r="G17" s="19">
        <f>GETPIVOTDATA("Age",$G$12)</f>
        <v>36.923809523809524</v>
      </c>
      <c r="H17">
        <f>E17-F17</f>
        <v>1233</v>
      </c>
      <c r="I17" s="17">
        <f>F17/E17</f>
        <v>0.16122448979591836</v>
      </c>
    </row>
    <row r="18" spans="1:9" x14ac:dyDescent="0.25">
      <c r="A18" s="4"/>
      <c r="B18" s="5"/>
      <c r="C18" s="6"/>
    </row>
    <row r="19" spans="1:9" x14ac:dyDescent="0.25">
      <c r="A19" s="4"/>
      <c r="B19" s="5"/>
      <c r="C19" s="6"/>
    </row>
    <row r="20" spans="1:9" x14ac:dyDescent="0.25">
      <c r="A20" s="7"/>
      <c r="B20" s="8"/>
      <c r="C2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0D842-A337-41BE-B1C3-588873BAC2FB}">
  <dimension ref="A3:C16"/>
  <sheetViews>
    <sheetView workbookViewId="0">
      <selection activeCell="L19" sqref="L19"/>
    </sheetView>
  </sheetViews>
  <sheetFormatPr defaultRowHeight="15.75" x14ac:dyDescent="0.25"/>
  <cols>
    <col min="1" max="1" width="23.125" bestFit="1" customWidth="1"/>
  </cols>
  <sheetData>
    <row r="3" spans="1:3" x14ac:dyDescent="0.25">
      <c r="A3" s="11" t="s">
        <v>1564</v>
      </c>
    </row>
    <row r="4" spans="1:3" x14ac:dyDescent="0.25">
      <c r="A4" s="20">
        <v>2.1423357664233578</v>
      </c>
    </row>
    <row r="9" spans="1:3" x14ac:dyDescent="0.25">
      <c r="A9" t="s">
        <v>1565</v>
      </c>
      <c r="B9" s="18">
        <f>GETPIVOTDATA("Job Satisfaction",$A$3)</f>
        <v>2.1423357664233578</v>
      </c>
      <c r="C9">
        <f>B9/4</f>
        <v>0.53558394160583944</v>
      </c>
    </row>
    <row r="10" spans="1:3" x14ac:dyDescent="0.25">
      <c r="A10" t="s">
        <v>1566</v>
      </c>
      <c r="B10" s="18">
        <f>4-B9</f>
        <v>1.8576642335766422</v>
      </c>
      <c r="C10">
        <f>B10/4</f>
        <v>0.46441605839416056</v>
      </c>
    </row>
    <row r="15" spans="1:3" x14ac:dyDescent="0.25">
      <c r="A15" s="11" t="s">
        <v>1564</v>
      </c>
    </row>
    <row r="16" spans="1:3" x14ac:dyDescent="0.25">
      <c r="A16" s="20">
        <v>2.1423357664233578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84C8D-A1EF-4C81-A18F-871E033D6F88}">
  <dimension ref="A3:C13"/>
  <sheetViews>
    <sheetView workbookViewId="0">
      <selection activeCell="C12" sqref="C12:C13"/>
    </sheetView>
  </sheetViews>
  <sheetFormatPr defaultRowHeight="15.75" x14ac:dyDescent="0.25"/>
  <cols>
    <col min="1" max="1" width="12.125" bestFit="1" customWidth="1"/>
    <col min="2" max="2" width="21.75" bestFit="1" customWidth="1"/>
  </cols>
  <sheetData>
    <row r="3" spans="1:3" x14ac:dyDescent="0.25">
      <c r="A3" s="21" t="s">
        <v>1554</v>
      </c>
      <c r="B3" s="11" t="s">
        <v>1567</v>
      </c>
    </row>
    <row r="4" spans="1:3" x14ac:dyDescent="0.25">
      <c r="A4" s="22" t="s">
        <v>51</v>
      </c>
      <c r="B4" s="23">
        <v>166</v>
      </c>
    </row>
    <row r="5" spans="1:3" x14ac:dyDescent="0.25">
      <c r="A5" s="26" t="s">
        <v>1555</v>
      </c>
      <c r="B5" s="12">
        <v>166</v>
      </c>
    </row>
    <row r="12" spans="1:3" x14ac:dyDescent="0.25">
      <c r="A12" t="s">
        <v>51</v>
      </c>
      <c r="B12">
        <f>IFERROR(GETPIVOTDATA("Employee Count",$A$3,"Gender","Female"),0)</f>
        <v>166</v>
      </c>
      <c r="C12" s="16">
        <f>IFERROR(B12/($B$12+$B$13),0)</f>
        <v>1</v>
      </c>
    </row>
    <row r="13" spans="1:3" x14ac:dyDescent="0.25">
      <c r="A13" t="s">
        <v>1568</v>
      </c>
      <c r="B13">
        <f>IFERROR(GETPIVOTDATA("Employee Count",$A$3,"Gender","Male"),0)</f>
        <v>0</v>
      </c>
      <c r="C13" s="16">
        <f>IFERROR(B13/($B$12+$B$13),0)</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21F04-8BFC-4B37-AE4D-2970EA5F88D6}">
  <dimension ref="A3:B9"/>
  <sheetViews>
    <sheetView workbookViewId="0">
      <selection activeCell="B4" sqref="B4:B8"/>
    </sheetView>
  </sheetViews>
  <sheetFormatPr defaultRowHeight="15.75" x14ac:dyDescent="0.25"/>
  <cols>
    <col min="1" max="1" width="16.125" bestFit="1" customWidth="1"/>
    <col min="2" max="2" width="21.75" bestFit="1" customWidth="1"/>
  </cols>
  <sheetData>
    <row r="3" spans="1:2" x14ac:dyDescent="0.25">
      <c r="A3" s="21" t="s">
        <v>1554</v>
      </c>
      <c r="B3" s="11" t="s">
        <v>1557</v>
      </c>
    </row>
    <row r="4" spans="1:2" x14ac:dyDescent="0.25">
      <c r="A4" s="22" t="s">
        <v>134</v>
      </c>
      <c r="B4" s="23">
        <v>1</v>
      </c>
    </row>
    <row r="5" spans="1:2" x14ac:dyDescent="0.25">
      <c r="A5" s="24" t="s">
        <v>65</v>
      </c>
      <c r="B5" s="25">
        <v>5</v>
      </c>
    </row>
    <row r="6" spans="1:2" x14ac:dyDescent="0.25">
      <c r="A6" s="24" t="s">
        <v>55</v>
      </c>
      <c r="B6" s="25">
        <v>13</v>
      </c>
    </row>
    <row r="7" spans="1:2" x14ac:dyDescent="0.25">
      <c r="A7" s="24" t="s">
        <v>71</v>
      </c>
      <c r="B7" s="25">
        <v>16</v>
      </c>
    </row>
    <row r="8" spans="1:2" x14ac:dyDescent="0.25">
      <c r="A8" s="24" t="s">
        <v>77</v>
      </c>
      <c r="B8" s="25">
        <v>24</v>
      </c>
    </row>
    <row r="9" spans="1:2" x14ac:dyDescent="0.25">
      <c r="A9" s="26" t="s">
        <v>1555</v>
      </c>
      <c r="B9" s="12">
        <v>59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BFDD3-A072-419E-ABA2-700EE6570109}">
  <dimension ref="A3:I12"/>
  <sheetViews>
    <sheetView workbookViewId="0">
      <selection activeCell="D10" sqref="D10"/>
    </sheetView>
  </sheetViews>
  <sheetFormatPr defaultRowHeight="15.75" x14ac:dyDescent="0.25"/>
  <cols>
    <col min="1" max="1" width="22.875" bestFit="1" customWidth="1"/>
    <col min="2" max="2" width="21.75" bestFit="1" customWidth="1"/>
    <col min="4" max="4" width="24.5" customWidth="1"/>
    <col min="8" max="8" width="22.875" bestFit="1" customWidth="1"/>
    <col min="9" max="9" width="8" bestFit="1" customWidth="1"/>
  </cols>
  <sheetData>
    <row r="3" spans="1:9" x14ac:dyDescent="0.25">
      <c r="A3" s="21" t="s">
        <v>9</v>
      </c>
      <c r="B3" s="11" t="s">
        <v>1557</v>
      </c>
      <c r="D3" s="27" t="s">
        <v>1569</v>
      </c>
      <c r="E3" s="27" t="s">
        <v>1570</v>
      </c>
    </row>
    <row r="4" spans="1:9" x14ac:dyDescent="0.25">
      <c r="A4" s="22" t="s">
        <v>83</v>
      </c>
      <c r="B4" s="23">
        <v>2</v>
      </c>
      <c r="D4" t="str">
        <f t="shared" ref="D4:D12" si="0">A4</f>
        <v>Healthcare Representative</v>
      </c>
      <c r="E4">
        <f t="shared" ref="E4:E12" si="1">GETPIVOTDATA("CF_attrition count",$A$3,"Job Role",A4)</f>
        <v>2</v>
      </c>
    </row>
    <row r="5" spans="1:9" x14ac:dyDescent="0.25">
      <c r="A5" s="24" t="s">
        <v>68</v>
      </c>
      <c r="B5" s="25">
        <v>33</v>
      </c>
      <c r="D5" t="str">
        <f t="shared" si="0"/>
        <v>Laboratory Technician</v>
      </c>
      <c r="E5">
        <f t="shared" si="1"/>
        <v>33</v>
      </c>
    </row>
    <row r="6" spans="1:9" x14ac:dyDescent="0.25">
      <c r="A6" s="24" t="s">
        <v>95</v>
      </c>
      <c r="B6" s="25">
        <v>1</v>
      </c>
      <c r="D6" t="str">
        <f t="shared" si="0"/>
        <v>Manager</v>
      </c>
      <c r="E6">
        <f t="shared" si="1"/>
        <v>1</v>
      </c>
      <c r="H6" s="21" t="s">
        <v>9</v>
      </c>
      <c r="I6" s="11" t="s">
        <v>1570</v>
      </c>
    </row>
    <row r="7" spans="1:9" x14ac:dyDescent="0.25">
      <c r="A7" s="24" t="s">
        <v>81</v>
      </c>
      <c r="B7" s="25">
        <v>4</v>
      </c>
      <c r="D7" t="str">
        <f t="shared" si="0"/>
        <v>Manufacturing Director</v>
      </c>
      <c r="E7">
        <f t="shared" si="1"/>
        <v>4</v>
      </c>
      <c r="H7" s="22" t="s">
        <v>83</v>
      </c>
      <c r="I7" s="23">
        <v>2</v>
      </c>
    </row>
    <row r="8" spans="1:9" x14ac:dyDescent="0.25">
      <c r="A8" s="24" t="s">
        <v>101</v>
      </c>
      <c r="B8" s="25">
        <v>1</v>
      </c>
      <c r="D8" t="str">
        <f t="shared" si="0"/>
        <v>Research Director</v>
      </c>
      <c r="E8">
        <f t="shared" si="1"/>
        <v>1</v>
      </c>
      <c r="H8" s="24" t="s">
        <v>68</v>
      </c>
      <c r="I8" s="25">
        <v>33</v>
      </c>
    </row>
    <row r="9" spans="1:9" x14ac:dyDescent="0.25">
      <c r="A9" s="28" t="s">
        <v>63</v>
      </c>
      <c r="B9" s="29">
        <v>18</v>
      </c>
      <c r="D9" t="str">
        <f t="shared" si="0"/>
        <v>Research Scientist</v>
      </c>
      <c r="E9">
        <f t="shared" si="1"/>
        <v>18</v>
      </c>
      <c r="H9" s="24" t="s">
        <v>95</v>
      </c>
      <c r="I9" s="25">
        <v>1</v>
      </c>
    </row>
    <row r="10" spans="1:9" x14ac:dyDescent="0.25">
      <c r="H10" s="24" t="s">
        <v>81</v>
      </c>
      <c r="I10" s="25">
        <v>4</v>
      </c>
    </row>
    <row r="11" spans="1:9" x14ac:dyDescent="0.25">
      <c r="H11" s="24" t="s">
        <v>101</v>
      </c>
      <c r="I11" s="25">
        <v>1</v>
      </c>
    </row>
    <row r="12" spans="1:9" x14ac:dyDescent="0.25">
      <c r="H12" s="28" t="s">
        <v>63</v>
      </c>
      <c r="I12" s="29">
        <v>18</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4352-D000-4346-A136-E5D9AC6EB1C5}">
  <dimension ref="A3:B5"/>
  <sheetViews>
    <sheetView workbookViewId="0">
      <selection activeCell="I6" sqref="I6"/>
    </sheetView>
  </sheetViews>
  <sheetFormatPr defaultRowHeight="15.75" x14ac:dyDescent="0.25"/>
  <cols>
    <col min="1" max="1" width="12.125" bestFit="1" customWidth="1"/>
    <col min="2" max="2" width="21.75" bestFit="1" customWidth="1"/>
  </cols>
  <sheetData>
    <row r="3" spans="1:2" x14ac:dyDescent="0.25">
      <c r="A3" s="21" t="s">
        <v>1554</v>
      </c>
      <c r="B3" s="11" t="s">
        <v>1557</v>
      </c>
    </row>
    <row r="4" spans="1:2" x14ac:dyDescent="0.25">
      <c r="A4" s="22" t="s">
        <v>60</v>
      </c>
      <c r="B4" s="30">
        <v>1</v>
      </c>
    </row>
    <row r="5" spans="1:2" x14ac:dyDescent="0.25">
      <c r="A5" s="26" t="s">
        <v>1555</v>
      </c>
      <c r="B5" s="31">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6810B-FAD4-4955-9915-E934D0F1C487}">
  <dimension ref="A3:B9"/>
  <sheetViews>
    <sheetView workbookViewId="0">
      <selection activeCell="F18" sqref="F18"/>
    </sheetView>
  </sheetViews>
  <sheetFormatPr defaultRowHeight="15.75" x14ac:dyDescent="0.25"/>
  <cols>
    <col min="1" max="1" width="12.125" bestFit="1" customWidth="1"/>
    <col min="2" max="2" width="21.75" bestFit="1" customWidth="1"/>
  </cols>
  <sheetData>
    <row r="3" spans="1:2" x14ac:dyDescent="0.25">
      <c r="A3" s="21" t="s">
        <v>1554</v>
      </c>
      <c r="B3" s="11" t="s">
        <v>1557</v>
      </c>
    </row>
    <row r="4" spans="1:2" x14ac:dyDescent="0.25">
      <c r="A4" s="22" t="s">
        <v>69</v>
      </c>
      <c r="B4" s="23">
        <v>26</v>
      </c>
    </row>
    <row r="5" spans="1:2" x14ac:dyDescent="0.25">
      <c r="A5" s="24" t="s">
        <v>46</v>
      </c>
      <c r="B5" s="25">
        <v>13</v>
      </c>
    </row>
    <row r="6" spans="1:2" x14ac:dyDescent="0.25">
      <c r="A6" s="24" t="s">
        <v>92</v>
      </c>
      <c r="B6" s="25">
        <v>11</v>
      </c>
    </row>
    <row r="7" spans="1:2" x14ac:dyDescent="0.25">
      <c r="A7" s="24" t="s">
        <v>58</v>
      </c>
      <c r="B7" s="25">
        <v>5</v>
      </c>
    </row>
    <row r="8" spans="1:2" x14ac:dyDescent="0.25">
      <c r="A8" s="24" t="s">
        <v>75</v>
      </c>
      <c r="B8" s="25">
        <v>4</v>
      </c>
    </row>
    <row r="9" spans="1:2" x14ac:dyDescent="0.25">
      <c r="A9" s="26" t="s">
        <v>1555</v>
      </c>
      <c r="B9" s="12">
        <v>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9982B-2906-4D68-9E7F-3B2DFEFE26B0}">
  <dimension ref="A3:E7"/>
  <sheetViews>
    <sheetView workbookViewId="0">
      <selection activeCell="M9" sqref="M9"/>
    </sheetView>
  </sheetViews>
  <sheetFormatPr defaultRowHeight="15.75" x14ac:dyDescent="0.25"/>
  <cols>
    <col min="1" max="1" width="12.125" bestFit="1" customWidth="1"/>
    <col min="2" max="2" width="15" bestFit="1" customWidth="1"/>
    <col min="4" max="4" width="13" customWidth="1"/>
  </cols>
  <sheetData>
    <row r="3" spans="1:5" x14ac:dyDescent="0.25">
      <c r="A3" s="21" t="s">
        <v>1554</v>
      </c>
      <c r="B3" s="11" t="s">
        <v>1571</v>
      </c>
      <c r="D3" s="32" t="s">
        <v>10</v>
      </c>
      <c r="E3" s="33" t="s">
        <v>0</v>
      </c>
    </row>
    <row r="4" spans="1:5" x14ac:dyDescent="0.25">
      <c r="A4" s="22" t="s">
        <v>79</v>
      </c>
      <c r="B4" s="23">
        <v>105</v>
      </c>
      <c r="D4" t="str">
        <f>A4</f>
        <v>Divorced</v>
      </c>
      <c r="E4">
        <f>GETPIVOTDATA("Attrition",$A$3,"Marital Status","Divorced")</f>
        <v>105</v>
      </c>
    </row>
    <row r="5" spans="1:5" x14ac:dyDescent="0.25">
      <c r="A5" s="24" t="s">
        <v>64</v>
      </c>
      <c r="B5" s="25">
        <v>195</v>
      </c>
      <c r="D5" t="str">
        <f>A5</f>
        <v>Married</v>
      </c>
      <c r="E5">
        <f>GETPIVOTDATA("Attrition",$A$3,"Marital Status","Single")</f>
        <v>140</v>
      </c>
    </row>
    <row r="6" spans="1:5" x14ac:dyDescent="0.25">
      <c r="A6" s="24" t="s">
        <v>53</v>
      </c>
      <c r="B6" s="25">
        <v>140</v>
      </c>
      <c r="D6" t="str">
        <f>A6</f>
        <v>Single</v>
      </c>
      <c r="E6">
        <f>GETPIVOTDATA("Attrition",$A$3,"Marital Status","Married")</f>
        <v>195</v>
      </c>
    </row>
    <row r="7" spans="1:5" x14ac:dyDescent="0.25">
      <c r="A7" s="26" t="s">
        <v>1555</v>
      </c>
      <c r="B7" s="12">
        <v>440</v>
      </c>
    </row>
  </sheetData>
  <sortState xmlns:xlrd2="http://schemas.microsoft.com/office/spreadsheetml/2017/richdata2" ref="E4:E6">
    <sortCondition ref="E4:E6"/>
  </sortState>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tabSelected="1" zoomScale="45" zoomScaleNormal="45" workbookViewId="0">
      <selection activeCell="AM21" sqref="AM21"/>
    </sheetView>
  </sheetViews>
  <sheetFormatPr defaultColWidth="11.25" defaultRowHeight="15" customHeight="1" x14ac:dyDescent="0.25"/>
  <cols>
    <col min="1" max="16" width="8.5" customWidth="1"/>
    <col min="17" max="17" width="8.25" customWidth="1"/>
    <col min="18"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HR Data</vt:lpstr>
      <vt:lpstr>KPI</vt:lpstr>
      <vt:lpstr>RATING</vt:lpstr>
      <vt:lpstr>GENDER</vt:lpstr>
      <vt:lpstr>education by attrition</vt:lpstr>
      <vt:lpstr>attirition by job</vt:lpstr>
      <vt:lpstr>Departmentwise attirition</vt:lpstr>
      <vt:lpstr>attrition by age grp</vt:lpstr>
      <vt:lpstr>Maritial status</vt:lpstr>
      <vt:lpstr>Images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Arati Khabale</cp:lastModifiedBy>
  <dcterms:created xsi:type="dcterms:W3CDTF">2022-12-29T16:02:46Z</dcterms:created>
  <dcterms:modified xsi:type="dcterms:W3CDTF">2026-06-11T09:45:44Z</dcterms:modified>
</cp:coreProperties>
</file>